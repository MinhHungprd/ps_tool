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URCE_CODE\ps_tool\storage\"/>
    </mc:Choice>
  </mc:AlternateContent>
  <bookViews>
    <workbookView xWindow="0" yWindow="0" windowWidth="21570" windowHeight="7440" activeTab="1"/>
  </bookViews>
  <sheets>
    <sheet name="Trang tính1" sheetId="1" r:id="rId1"/>
    <sheet name="data" sheetId="2" r:id="rId2"/>
    <sheet name="Mẫu tem giao hàng" sheetId="3" state="hidden" r:id="rId3"/>
  </sheets>
  <calcPr calcId="162913"/>
</workbook>
</file>

<file path=xl/calcChain.xml><?xml version="1.0" encoding="utf-8"?>
<calcChain xmlns="http://schemas.openxmlformats.org/spreadsheetml/2006/main">
  <c r="B9" i="3" l="1"/>
  <c r="B8" i="3"/>
  <c r="B7" i="3"/>
  <c r="P18" i="2"/>
  <c r="A18" i="2" s="1"/>
  <c r="F18" i="2" s="1"/>
  <c r="L18" i="2"/>
  <c r="P17" i="2"/>
  <c r="A17" i="2" s="1"/>
  <c r="F17" i="2" s="1"/>
  <c r="L17" i="2"/>
  <c r="P15" i="2"/>
  <c r="A15" i="2" s="1"/>
  <c r="F15" i="2" s="1"/>
  <c r="L15" i="2"/>
  <c r="P14" i="2"/>
  <c r="A14" i="2" s="1"/>
  <c r="F14" i="2" s="1"/>
  <c r="L14" i="2"/>
  <c r="P13" i="2"/>
  <c r="A13" i="2" s="1"/>
  <c r="F13" i="2" s="1"/>
  <c r="L13" i="2"/>
  <c r="P12" i="2"/>
  <c r="A12" i="2" s="1"/>
  <c r="F12" i="2" s="1"/>
  <c r="L12" i="2"/>
  <c r="P11" i="2"/>
  <c r="A11" i="2" s="1"/>
  <c r="F11" i="2" s="1"/>
  <c r="L11" i="2"/>
  <c r="P10" i="2"/>
  <c r="A10" i="2" s="1"/>
  <c r="F10" i="2" s="1"/>
  <c r="L10" i="2"/>
  <c r="P9" i="2"/>
  <c r="A9" i="2" s="1"/>
  <c r="F9" i="2" s="1"/>
  <c r="L9" i="2"/>
  <c r="P7" i="2"/>
  <c r="A7" i="2" s="1"/>
  <c r="F7" i="2" s="1"/>
  <c r="L7" i="2"/>
  <c r="P6" i="2"/>
  <c r="A6" i="2" s="1"/>
  <c r="F6" i="2" s="1"/>
  <c r="L6" i="2"/>
  <c r="P5" i="2"/>
  <c r="A5" i="2" s="1"/>
  <c r="F5" i="2" s="1"/>
  <c r="L5" i="2"/>
  <c r="P4" i="2"/>
  <c r="A4" i="2" s="1"/>
  <c r="F4" i="2" s="1"/>
  <c r="L4" i="2"/>
  <c r="P3" i="2"/>
  <c r="A3" i="2" s="1"/>
  <c r="F3" i="2" s="1"/>
  <c r="L3" i="2"/>
  <c r="P2" i="2"/>
  <c r="A2" i="2" s="1"/>
  <c r="F2" i="2" s="1"/>
  <c r="L2" i="2"/>
  <c r="F1" i="2"/>
</calcChain>
</file>

<file path=xl/sharedStrings.xml><?xml version="1.0" encoding="utf-8"?>
<sst xmlns="http://schemas.openxmlformats.org/spreadsheetml/2006/main" count="960" uniqueCount="425">
  <si>
    <t>mockUpFront</t>
  </si>
  <si>
    <t>mockUpBack</t>
  </si>
  <si>
    <t>designFront</t>
  </si>
  <si>
    <t>designBack</t>
  </si>
  <si>
    <t>designSleeve</t>
  </si>
  <si>
    <t>designHood</t>
  </si>
  <si>
    <t>type</t>
  </si>
  <si>
    <t>title</t>
  </si>
  <si>
    <t>sku</t>
  </si>
  <si>
    <t>size</t>
  </si>
  <si>
    <t>color</t>
  </si>
  <si>
    <t>orderNumber</t>
  </si>
  <si>
    <t>quantity</t>
  </si>
  <si>
    <t>name</t>
  </si>
  <si>
    <t>address1</t>
  </si>
  <si>
    <t>address2</t>
  </si>
  <si>
    <t>city</t>
  </si>
  <si>
    <t>state</t>
  </si>
  <si>
    <t>country</t>
  </si>
  <si>
    <t>phone</t>
  </si>
  <si>
    <t>email</t>
  </si>
  <si>
    <t>postalCode</t>
  </si>
  <si>
    <t>tax</t>
  </si>
  <si>
    <t>thankcard</t>
  </si>
  <si>
    <t>brandkitA5clothes</t>
  </si>
  <si>
    <t>brandkitA5</t>
  </si>
  <si>
    <t>brandkitA6</t>
  </si>
  <si>
    <t>shippingPlan</t>
  </si>
  <si>
    <t>https://drive.google.com/file/d/1qGl743L7gdrlcnJjL8mtcQuGQPqFIVSq/view?usp=drive_link</t>
  </si>
  <si>
    <t>Can we have the letter B the same size as the letter S and have it be leveled? Also, can you bring the number 25 lower down to match the other jersey?</t>
  </si>
  <si>
    <t>SB</t>
  </si>
  <si>
    <t>AOP Unisex Baseball Jersey without Pipping (white button)</t>
  </si>
  <si>
    <t>E-1409009-dh-Tr</t>
  </si>
  <si>
    <t>E-1409009-dh-Tr-3591082112</t>
  </si>
  <si>
    <t>S</t>
  </si>
  <si>
    <t>Full Printed</t>
  </si>
  <si>
    <t>##3591082112</t>
  </si>
  <si>
    <t>VINNIE THAM</t>
  </si>
  <si>
    <t>4670 ASSEMBLY WAY</t>
  </si>
  <si>
    <t>UNIT 4209 (BUZZER 3507)</t>
  </si>
  <si>
    <t>BURNABY</t>
  </si>
  <si>
    <t>BC</t>
  </si>
  <si>
    <t>Canada</t>
  </si>
  <si>
    <t>V5H0H3</t>
  </si>
  <si>
    <t>While it looks great, I’d need things reversed with the colors of the jersey and numbers. The jersey being completely white, and the numbers being the colors from the away jerseys. The photos I sent before ordering are good for referencing. The logos on the sleeves are perfect though</t>
  </si>
  <si>
    <t>Personalization: Please refer to our message for details. 1. Panthers &amp; Jets + logos on the sleeves. 2. FORFA -half in black with panther blue outline/half Jetsgreen with black outline 3. 25 (2 panthers/5</t>
  </si>
  <si>
    <t>AOP V-neck Short-sleeve Jersey</t>
  </si>
  <si>
    <t>E-2401-09-dh-vit</t>
  </si>
  <si>
    <t>E-2401-09-dh-vit-3596562424</t>
  </si>
  <si>
    <t>L</t>
  </si>
  <si>
    <t>#3596562424</t>
  </si>
  <si>
    <t>Aimee Greenspan</t>
  </si>
  <si>
    <t>100 Pierson Miller Dr</t>
  </si>
  <si>
    <t>Apt E30</t>
  </si>
  <si>
    <t>POMPTON LAKES</t>
  </si>
  <si>
    <t>NJ</t>
  </si>
  <si>
    <t>United States</t>
  </si>
  <si>
    <t>07442-1052</t>
  </si>
  <si>
    <t>https://drive.google.com/file/d/1jIVFvnMcwhGLOgFCLdtnjeWhPUv2cgsU/view?usp=drive_link</t>
  </si>
  <si>
    <t>Is there any way that you can do the font and font colors that are on #7?</t>
  </si>
  <si>
    <t>Choose Design ( see Color Table image): 15 Personalization: No basketball image or background.Front: Front from #7 - Spring Break ‘25 Back: Emerson</t>
  </si>
  <si>
    <t>AOP Kid And Youth V-neck Sleeveless Jersey Tank Top</t>
  </si>
  <si>
    <t>E-0611002-dh-vit</t>
  </si>
  <si>
    <t>E-0611002-dh-vit-3596827304-1</t>
  </si>
  <si>
    <t>Youth S</t>
  </si>
  <si>
    <t>#3596827304</t>
  </si>
  <si>
    <t>Stephanie Zielinski</t>
  </si>
  <si>
    <t>795 74th Ave N</t>
  </si>
  <si>
    <t>ST PETERSBURG</t>
  </si>
  <si>
    <t>FL</t>
  </si>
  <si>
    <t>33702-5221</t>
  </si>
  <si>
    <t>1 mockup</t>
  </si>
  <si>
    <t>Choose Design ( see Color Table image): 15 Personalization: No basketball image or background.Front: Front from #7 - Spring Break ‘25 Back: ThatGuyAsher</t>
  </si>
  <si>
    <t>E-0611002-dh-vit-3596827304-2</t>
  </si>
  <si>
    <t>Youth XL</t>
  </si>
  <si>
    <t>Choose Design ( see Color Table image): 15 Personalization: No basketball image or background.Front: Front from #7 - Spring Break ‘25 Back: Hads</t>
  </si>
  <si>
    <t>E-0611002-dh-vit-3596827304-3</t>
  </si>
  <si>
    <t>Youth M</t>
  </si>
  <si>
    <t>Choose Design ( see Color Table image): 15 Personalization: No basketball image or background.Front: Front from #7 - Spring Break ‘25 Back: Malin</t>
  </si>
  <si>
    <t>E-0611002-dh-vit-3596827304-4</t>
  </si>
  <si>
    <t>4T</t>
  </si>
  <si>
    <t>Choose Design ( see Color Table image): 15 Personalization: No basketball image or background.Front: Front from #7 - Spring Break ‘25 Back: Jessie</t>
  </si>
  <si>
    <t>E-0611002-dh-vit-3596827304-5</t>
  </si>
  <si>
    <t>5T</t>
  </si>
  <si>
    <t>Choose Design ( see Color Table image): 15 Personalization: No basketball image or background.Front: Front from #7 - Spring Break ‘25 Back: Axel</t>
  </si>
  <si>
    <t>E-0611002-dh-vit-3596827304-6</t>
  </si>
  <si>
    <t>Youth L</t>
  </si>
  <si>
    <t>Choose Design ( see Color Table image): 15 Personalization: No basketball image or background.Front: Front from #7 - Spring Break ‘25 Back: Lil Mac</t>
  </si>
  <si>
    <t>E-0611002-dh-vit-3596827304-7</t>
  </si>
  <si>
    <t>Choose Design ( see Color Table image): 15 Personalization: No basketball image or background.Front: Front from #7 - Spring Break ‘25 Back: Mad Dog</t>
  </si>
  <si>
    <t>E-0611002-dh-vit-3596827304-8</t>
  </si>
  <si>
    <t>https://drive.google.com/file/d/1hOZQn2ObmrPyvcak9aHezeANai5btsL-/view?usp=drive_link</t>
  </si>
  <si>
    <t>cf number</t>
  </si>
  <si>
    <t>Design: 2 Personalization: Mardi Gras glam doll</t>
  </si>
  <si>
    <t>E-0102-07-dh-vit</t>
  </si>
  <si>
    <t>E-0102-07-dh-vit-3597371930-1</t>
  </si>
  <si>
    <t>#3597371930</t>
  </si>
  <si>
    <t>Tomika Pickney</t>
  </si>
  <si>
    <t>1019 plum st</t>
  </si>
  <si>
    <t>LAFAYETTE</t>
  </si>
  <si>
    <t>LA</t>
  </si>
  <si>
    <t>E-0102-07-dh-vit-3597371930-2</t>
  </si>
  <si>
    <t>M</t>
  </si>
  <si>
    <t>E-0102-07-dh-vit-3597371930-3</t>
  </si>
  <si>
    <t>E-0102-07-dh-vit-3597371930-4</t>
  </si>
  <si>
    <t>XL</t>
  </si>
  <si>
    <t>Message:Please keep this font and style for the “Snow Power”: https://i.etsystatic.com/icm/a7e915/747042886/icm_fullxfull.747042886_36km9nu76aio48kksw08.jpg?version=0</t>
  </si>
  <si>
    <t>Personalization: Name on the back : KYRA KYNANumber : 88</t>
  </si>
  <si>
    <t>ý tưởng của khách: https://i.etsystatic.com/icm/690aa0/746895152/icm_fullxfull.746895152_egch4lvkhsg848ocw8cc.jpg?version=0</t>
  </si>
  <si>
    <t>AOP Unisex Baseball Jersey without Pipping</t>
  </si>
  <si>
    <t>E-121001-dh-vit</t>
  </si>
  <si>
    <t>E-121001-dh-vit-3604781951</t>
  </si>
  <si>
    <t>#3604781951</t>
  </si>
  <si>
    <t>devi vidyapith</t>
  </si>
  <si>
    <t>900 Pear St</t>
  </si>
  <si>
    <t>Apt D</t>
  </si>
  <si>
    <t>CARTERVILLE</t>
  </si>
  <si>
    <t>IL</t>
  </si>
  <si>
    <t>Robinson ở back cho bé lại thêm gạch vàng ở cạnh gạch xanh: https://i.etsystatic.com/icm/2df8ee/747010614/icm_fullxfull.747010614_n5uitvtqpeog8c8888ok.jpg?version=0thêm viền vàng vào text: https://i.etsystatic.com/icm/db8eb2/747189358/icm_fullxfull.747189358_67ypj04zep0kkgooc4go.jpg?version=0</t>
  </si>
  <si>
    <t>Choose Design: 5I would want the name Robinson put above the 2 on the back.Personalization: Please see pictures and messages in messenger. Thank you!</t>
  </si>
  <si>
    <t>https://i.etsystatic.com/icm/9079e4/746862318/icm_fullxfull.746862318_hc1xividtdwksg440808.jpg?version=0https://i.etsystatic.com/icm/9c6815/751224263/icm_fullxfull.751224263_jsbxxagua4g48csg0440.jpg?version=0</t>
  </si>
  <si>
    <t>E-2506-08-dh-vit</t>
  </si>
  <si>
    <t>E-2506-08-dh-vit-3605137269</t>
  </si>
  <si>
    <t>#3605137269</t>
  </si>
  <si>
    <t>Krystal Fornwalt</t>
  </si>
  <si>
    <t>226 E Avon Rd</t>
  </si>
  <si>
    <t>Brookhaven</t>
  </si>
  <si>
    <t>PA</t>
  </si>
  <si>
    <t>https://drive.google.com/file/d/1BFqfJPJuf7pnQuZH3xOEazA05eSvDHqJ/view?usp=drive_link</t>
  </si>
  <si>
    <t>Design: 3 Personalization: 1. Holliday2. 25</t>
  </si>
  <si>
    <t>E-0301-06-dh-Tr</t>
  </si>
  <si>
    <t>E-0301-06-dh-Tr-3599538782</t>
  </si>
  <si>
    <t>2XL</t>
  </si>
  <si>
    <t>#3599538782</t>
  </si>
  <si>
    <t>Robyn Holliday</t>
  </si>
  <si>
    <t>1741 Baxter Road</t>
  </si>
  <si>
    <t>GLOSTER</t>
  </si>
  <si>
    <t>MS</t>
  </si>
  <si>
    <t>https://drive.google.com/file/d/1UvTH2ZW0FHDGH92g-fZZsDBT_ny2Vw2n/view?usp=drive_link</t>
  </si>
  <si>
    <t>Choose Design ( see Color Table image): 27Personalization: 1. 6’7ers 2. Goodbody 3. 1</t>
  </si>
  <si>
    <t>E-0611002-dh-vit-3599514582-1</t>
  </si>
  <si>
    <t>#3599514582</t>
  </si>
  <si>
    <t>Angelene Naro</t>
  </si>
  <si>
    <t>117 Fairhope Avenue</t>
  </si>
  <si>
    <t>FAIRHOPE</t>
  </si>
  <si>
    <t>AL</t>
  </si>
  <si>
    <t>Choose Design ( see Color Table image): 27Personalization: 1. 6’7ers 2. Gerhardt 3. 6</t>
  </si>
  <si>
    <t>E-0611002-dh-vit-3599514582-2</t>
  </si>
  <si>
    <t>Choose Design ( see Color Table image): 27Personalization: 1. 6’7ers 2. Naro 3. 3</t>
  </si>
  <si>
    <t>E-0611002-dh-vit-3599514582-3</t>
  </si>
  <si>
    <t>football</t>
  </si>
  <si>
    <t>Personalization: Dallas Cowboys logo on front, Green Baypackers logo on front, Cowboys &amp; Packers on back, number 88, Dallas Cowboys &amp; Green Bay Packers</t>
  </si>
  <si>
    <t>E-2401-09-dh-vit-3599503200</t>
  </si>
  <si>
    <t>#3599503200</t>
  </si>
  <si>
    <t>Brittani Brown</t>
  </si>
  <si>
    <t>PO Box 37</t>
  </si>
  <si>
    <t>23971 Sky View Dr</t>
  </si>
  <si>
    <t>IDYLLWILD</t>
  </si>
  <si>
    <t>CA</t>
  </si>
  <si>
    <t>https://drive.google.com/file/d/1OqNe7OST4CceUogxLlZThqnLwnpWh-wh/view?usp=drive_link</t>
  </si>
  <si>
    <t>Design: 3 Personalization: 1. Nicky2. Gutter Gang</t>
  </si>
  <si>
    <t>AOP Unisex Baseball Jersey (white button)</t>
  </si>
  <si>
    <t>E-2512-03-dh-vit</t>
  </si>
  <si>
    <t>E-2512-03-dh-vit-3599477164-1</t>
  </si>
  <si>
    <t>#3599477164</t>
  </si>
  <si>
    <t>Nicole Diaz</t>
  </si>
  <si>
    <t>160 W 850 N</t>
  </si>
  <si>
    <t>VALPARAISO</t>
  </si>
  <si>
    <t>IN</t>
  </si>
  <si>
    <t>Design: 3 Personalization: 1. Nick2. Gutter Gang</t>
  </si>
  <si>
    <t>E-2512-03-dh-vit-3599477164-2</t>
  </si>
  <si>
    <t>Design: 3 Personalization: 1. Will2. Gutter Gang</t>
  </si>
  <si>
    <t>E-2512-03-dh-vit-3599477164-3</t>
  </si>
  <si>
    <t>Design: 3 Personalization: 1. Jeremy2. Gutter Gang</t>
  </si>
  <si>
    <t>E-2512-03-dh-vit-3599477164-4</t>
  </si>
  <si>
    <t>3XL</t>
  </si>
  <si>
    <t>https://drive.google.com/file/d/1MTs5Imy38fDmvJUUS8e_9dkP3snyN-dv/view?usp=drive_link</t>
  </si>
  <si>
    <t>Design: 3 Personalization: 1. “Keith” on front, “Mohrey” on back2. “2” on front and back for the number</t>
  </si>
  <si>
    <t>mockup</t>
  </si>
  <si>
    <t>E-1701-dh6-HL</t>
  </si>
  <si>
    <t>E-1701-dh6-HL-3605996297</t>
  </si>
  <si>
    <t>#3605996297</t>
  </si>
  <si>
    <t>Chris Harvilla</t>
  </si>
  <si>
    <t>682 Columbia Ave</t>
  </si>
  <si>
    <t>PALMERTON</t>
  </si>
  <si>
    <t>18071-1402</t>
  </si>
  <si>
    <t>https://drive.google.com/file/d/1tT4PWwUMcqUnlr7vBSUnDgi6_Vy5Fk8t/view?usp=drive_link</t>
  </si>
  <si>
    <t>Design: 10 Personalization: 1. “Phillies”2. “Harvilla” 3. “4” front and back</t>
  </si>
  <si>
    <t>E-0612-02-dh-DoHa</t>
  </si>
  <si>
    <t>E-0612-02-dh-DoHa-3605996297</t>
  </si>
  <si>
    <t>https://drive.google.com/file/d/17b3axTG5q4NfCOQ2vhTbjOLkBWdU0n8A/view?usp=drive_link</t>
  </si>
  <si>
    <t>Design: 9 Personalization: 1. “Pirates”2. “Mohrey” 3. “3” front and back</t>
  </si>
  <si>
    <t>E-0602-dh2-Tr</t>
  </si>
  <si>
    <t>E-0602-dh2-Tr-3605996297</t>
  </si>
  <si>
    <t>https://drive.google.com/file/d/1D3_kFdfSd1z1YLVPncCDY64Gx2RkufTv/view?usp=drive_link</t>
  </si>
  <si>
    <t>Design: 3 Personalization: 1. “Vikings”2. “Mohrey” 3. “4” front and back</t>
  </si>
  <si>
    <t>E-1106-03-dh-Tr</t>
  </si>
  <si>
    <t>E-1106-03-dh-Tr-3605996297</t>
  </si>
  <si>
    <t>https://drive.google.com/file/d/1t32qwZtSzKhIGosHald3fKToCnKf8hJo/view?usp=drive_link</t>
  </si>
  <si>
    <t>Color: 24 Personalization: 1. “Eagles”2. “Harv” 3. “4”</t>
  </si>
  <si>
    <t>E-2310-01-dh-HL</t>
  </si>
  <si>
    <t>E-2310-01-dh-HL-3605996297</t>
  </si>
  <si>
    <t>https://drive.google.com/file/d/1zjRY43rqzgknPZu3Kqcvbe4uNVe1dB5b/view?usp=drive_link</t>
  </si>
  <si>
    <t>Personalization: Daddy</t>
  </si>
  <si>
    <t>E-0410007-dh-Tr2</t>
  </si>
  <si>
    <t>E-0410007-dh-Tr2-3605796711-1</t>
  </si>
  <si>
    <t>#3605796711</t>
  </si>
  <si>
    <t>Donna Mulder</t>
  </si>
  <si>
    <t>2500 E 41st Court</t>
  </si>
  <si>
    <t>DES MOINES</t>
  </si>
  <si>
    <t>IA</t>
  </si>
  <si>
    <t>Personalization: Mommy</t>
  </si>
  <si>
    <t>E-0410007-dh-Tr2-3605796711-2</t>
  </si>
  <si>
    <t>Choose Design ( see Color Table image): 27Personalization: 1. Akumal 2. Morley 3. 25</t>
  </si>
  <si>
    <t>AOP V-neck Sleeveless Jersey Tank Top</t>
  </si>
  <si>
    <t>E-0611002-dh-vit-3599275862-1</t>
  </si>
  <si>
    <t>#3599275862</t>
  </si>
  <si>
    <t>Mike Hynek</t>
  </si>
  <si>
    <t>10 Maybury Rd</t>
  </si>
  <si>
    <t>SUFFIELD</t>
  </si>
  <si>
    <t>CT</t>
  </si>
  <si>
    <t>Choose Design ( see Color Table image): 27Personalization: 1. Akumal 2. Dowd 3. 25</t>
  </si>
  <si>
    <t>E-0611002-dh-vit-3599275862-2</t>
  </si>
  <si>
    <t>https://drive.google.com/file/d/1j1uGfoGYtxGEpkv0uSHrhOQbjsdydWmz/view?usp=drive_link</t>
  </si>
  <si>
    <t>Choose Design ( see Color Table image): 4Personalization: 1. Akumal2. Hynek3. 25</t>
  </si>
  <si>
    <t>E-0611002-dh-vit-3599275862-3</t>
  </si>
  <si>
    <t>Choose Design ( see Color Table image): 27Personalization: 1. Akumal 2. Marcoux 3. 25</t>
  </si>
  <si>
    <t>E-0611002-dh-vit-3599275862-4</t>
  </si>
  <si>
    <t>Choose Design ( see Color Table image): 27Personalization: 1. Akumal 2. Brin 3. 25</t>
  </si>
  <si>
    <t>E-0611002-dh-vit-3599275862-5</t>
  </si>
  <si>
    <t>https://drive.google.com/file/d/17tby8YbAwjBm0YCKnZS0dN0BerAP3cNn/view?usp=drive_link</t>
  </si>
  <si>
    <t>Personalization: 1.Myles2. 1</t>
  </si>
  <si>
    <t>AOP Kids and Youth Baseball Jersey without Pipping (white button)</t>
  </si>
  <si>
    <t>E-1005007-dh-vit</t>
  </si>
  <si>
    <t>E-1005007-dh-vit-3605685093</t>
  </si>
  <si>
    <t>2T</t>
  </si>
  <si>
    <t>#3605685093</t>
  </si>
  <si>
    <t>alexis ortega</t>
  </si>
  <si>
    <t>13669 Goyo Garcia Rd</t>
  </si>
  <si>
    <t>RAYMONDVILLE</t>
  </si>
  <si>
    <t>TX</t>
  </si>
  <si>
    <t>78580-4798</t>
  </si>
  <si>
    <t>https://drive.google.com/file/d/1gQtyRWyykvVaWDxVK1h3FlgORgDaLoTm/view?usp=drive_link</t>
  </si>
  <si>
    <t>Design: 2 Personalization: 1. thrift queen2. mari 3. 22</t>
  </si>
  <si>
    <t>E-2909005-dh-vit</t>
  </si>
  <si>
    <t>E-2909005-dh-vit-3599157726</t>
  </si>
  <si>
    <t>#3599157726</t>
  </si>
  <si>
    <t>Ayala Giveon</t>
  </si>
  <si>
    <t>prof' Einstein 6</t>
  </si>
  <si>
    <t>apartment 1, 1st floor</t>
  </si>
  <si>
    <t>REHOVOT</t>
  </si>
  <si>
    <t>Israel</t>
  </si>
  <si>
    <t>https://drive.google.com/file/d/1tUlkBkEo4e9WOhcdUD9-Oi7aj3iCcfsF/view?usp=drive_link</t>
  </si>
  <si>
    <t>Design: 1 Personalization: Name: NOLA Number: 25</t>
  </si>
  <si>
    <t>E-0102-07-dh-vit-3605641025-1</t>
  </si>
  <si>
    <t>#3605641025</t>
  </si>
  <si>
    <t>Jordan Reed</t>
  </si>
  <si>
    <t>2642 S Mesa Ave</t>
  </si>
  <si>
    <t>YUMA</t>
  </si>
  <si>
    <t>AZ</t>
  </si>
  <si>
    <t>Design: 2 Personalization: Name: NOLA Number: 25</t>
  </si>
  <si>
    <t>E-0102-07-dh-vit-3605641025-2</t>
  </si>
  <si>
    <t>Personalization: RIVER1</t>
  </si>
  <si>
    <t>E-1005007-dh-vit-3605616597</t>
  </si>
  <si>
    <t>12M</t>
  </si>
  <si>
    <t>#3605616597</t>
  </si>
  <si>
    <t>Aaron Sotelo</t>
  </si>
  <si>
    <t>423 Colorado Dr</t>
  </si>
  <si>
    <t>SAN BENITO</t>
  </si>
  <si>
    <t>https://drive.google.com/file/d/1dkwmABZmew5BQcmOC1wewpfAN5JAz96a/view?usp=drive_link</t>
  </si>
  <si>
    <t>Design: 5 Personalization: FamiliaRIVERA 78</t>
  </si>
  <si>
    <t>E-2609002-dh-vit</t>
  </si>
  <si>
    <t>E-2609002-dh-vit-3599115564</t>
  </si>
  <si>
    <t>#3599115564</t>
  </si>
  <si>
    <t>Daniel Rivera</t>
  </si>
  <si>
    <t>Binzmühlestrasse 367</t>
  </si>
  <si>
    <t>Affoltern Zürich</t>
  </si>
  <si>
    <t>Switzerland</t>
  </si>
  <si>
    <t>Design: 1 Personalization: 1. Shay Shay 2. 88</t>
  </si>
  <si>
    <t>E-0102-07-dh-vit-3605493317</t>
  </si>
  <si>
    <t>#3605493317</t>
  </si>
  <si>
    <t>Sherika Hill</t>
  </si>
  <si>
    <t>315 e haig street</t>
  </si>
  <si>
    <t>MOBILE</t>
  </si>
  <si>
    <t>https://drive.google.com/file/d/1v-30z3_Crbn6KXKo9tRjFUk7r_7PUp9i/view?usp=drive_link</t>
  </si>
  <si>
    <t>Design: 3 Personalization: 1. Team Name: Mahony’s2. Name: Raven 3. Number: 07</t>
  </si>
  <si>
    <t>E-2709001-dh-vit</t>
  </si>
  <si>
    <t>E-2709001-dh-vit-3605451305</t>
  </si>
  <si>
    <t>#3605451305</t>
  </si>
  <si>
    <t>Raven Bonvillain</t>
  </si>
  <si>
    <t>221 Belle Vue Ave</t>
  </si>
  <si>
    <t>LOCKPORT</t>
  </si>
  <si>
    <t xml:space="preserve">File thiết kế </t>
  </si>
  <si>
    <t>File in mẫu</t>
  </si>
  <si>
    <t>File in (gôp)</t>
  </si>
  <si>
    <t xml:space="preserve">Loại áo </t>
  </si>
  <si>
    <t>SKU</t>
  </si>
  <si>
    <t>Tên xuất file in</t>
  </si>
  <si>
    <t>Màu Cúc Áo</t>
  </si>
  <si>
    <t>Mã barcode tự phát sinh từ Order</t>
  </si>
  <si>
    <t>Quantity</t>
  </si>
  <si>
    <t>Date</t>
  </si>
  <si>
    <t>https://i.etsystatic.com/38852545/r/il/7b353f/6369296714/il_794xN.6369296714_d8jp.jpg</t>
  </si>
  <si>
    <t>SizeAdult M
Design Color#1
Personalization
1. Phi Sigma Sigma
2. Big
3. 25</t>
  </si>
  <si>
    <t>https://drive.google.com/file/d/1JVVfz04ieMXZYyKP6ML1xOxNKioyULd4/view?usp=sharing</t>
  </si>
  <si>
    <t>https://drive.google.com/file/d/1EJt2P2BBp8j5w4qdohPqyv19RMAwQJWT/view?usp=drive_link</t>
  </si>
  <si>
    <t>https://drive.google.com/file/d/15uVdfVe821I4Wp-mNlZkslQyn2Rw08cw/view?usp=drive_link</t>
  </si>
  <si>
    <t>BCNL-IN</t>
  </si>
  <si>
    <t>161002-nt-Baseball Jersey-duy</t>
  </si>
  <si>
    <t>Adult M</t>
  </si>
  <si>
    <t>Đen</t>
  </si>
  <si>
    <t>#3805564513</t>
  </si>
  <si>
    <t>Nina Perez</t>
  </si>
  <si>
    <t>1100 W Montgomery Ave</t>
  </si>
  <si>
    <t>Apt 1015</t>
  </si>
  <si>
    <t>PHILADELPHIA</t>
  </si>
  <si>
    <t xml:space="preserve">PA </t>
  </si>
  <si>
    <t>19122-2739</t>
  </si>
  <si>
    <t>SizeAdult M
Design Color#1
Personalization
1. Phi Sigma Sigma
2. G Big
3. 25</t>
  </si>
  <si>
    <t>https://drive.google.com/file/d/1fy0ZdbQqV4DGFtCZxB-z5tJohBdUKHsy/view?usp=drive_link</t>
  </si>
  <si>
    <t>SizeAdult L
Design Color#1
Personalization
1. Phi Sigma Sigma
2. Little 
3. 25</t>
  </si>
  <si>
    <t>https://drive.google.com/file/d/12IshrP7ky5b6Zw4zjqdYsjiF6kOw08KH/view?usp=drive_link</t>
  </si>
  <si>
    <t>Adult L</t>
  </si>
  <si>
    <t>https://i.etsystatic.com/38852545/r/il/2860c8/6282085784/il_794xN.6282085784_ka88.jpg</t>
  </si>
  <si>
    <t>Size6Y
Design Color#1
Personalization: Evanne</t>
  </si>
  <si>
    <t>https://drive.google.com/file/d/1BrL6AKbEAwF9H-jj741TQnlBgSSBDBvv/view?usp=drive_link</t>
  </si>
  <si>
    <t>https://drive.google.com/file/d/13krY93jmDAPyY0IfIyeHTXY5SpsvvJpZ/view?usp=drive_link</t>
  </si>
  <si>
    <t>BCKID-IN</t>
  </si>
  <si>
    <t>130905-nt-Glitter Jersey-duy8</t>
  </si>
  <si>
    <t>6Y</t>
  </si>
  <si>
    <t>#3806120975</t>
  </si>
  <si>
    <t>Megan Hardin</t>
  </si>
  <si>
    <t>431 Berry Moore Rd</t>
  </si>
  <si>
    <t>STAUNTON</t>
  </si>
  <si>
    <t xml:space="preserve">VA </t>
  </si>
  <si>
    <t>SizeYouth L
Design Color#1
Personalization: Peyton</t>
  </si>
  <si>
    <t>https://drive.google.com/file/d/1fDdOqXlvXE7Pz8gQzGgDmK0ZpshYd70l/view?usp=drive_link</t>
  </si>
  <si>
    <t>https://i.etsystatic.com/38852545/r/il/f80e70/6149201980/il_794xN.6149201980_3mfn.jpg</t>
  </si>
  <si>
    <t>SizeAdult XS
Design ColorBlack
Personalization: ANDRADE</t>
  </si>
  <si>
    <t>https://drive.google.com/file/d/1vuy08DprxFb1npy718-6WDnvfDdaM4BW/view?usp=drive_link</t>
  </si>
  <si>
    <t>220704-nt-Mex Jersey-duy4</t>
  </si>
  <si>
    <t>Adult XS</t>
  </si>
  <si>
    <t>#3806367607</t>
  </si>
  <si>
    <t>Elizabeth Andrade</t>
  </si>
  <si>
    <t>PO Box 205</t>
  </si>
  <si>
    <t>ORONDO</t>
  </si>
  <si>
    <t xml:space="preserve">WA </t>
  </si>
  <si>
    <t>https://drive.google.com/file/d/17GKpL8TN1NnpcOVhrEJE8hajisz3w0XH/view?usp=sharing</t>
  </si>
  <si>
    <t>https://drive.google.com/file/d/1yJA59w72DplU3tHIpaypvJHv7B1qoZov/view?usp=sharing</t>
  </si>
  <si>
    <t>lẻ</t>
  </si>
  <si>
    <t>BRNL</t>
  </si>
  <si>
    <t>E-0908-02-TH-Tr-3807107591</t>
  </si>
  <si>
    <t>3807107591-pim</t>
  </si>
  <si>
    <t>Dianne Mercer</t>
  </si>
  <si>
    <t>394 Honey Branch Lane</t>
  </si>
  <si>
    <t>ST AUGUSTINE</t>
  </si>
  <si>
    <t>https://drive.google.com/file/d/1LLICLi39CxhhcuU-RrIMD3LYyv6KIwgO/view?usp=sharing</t>
  </si>
  <si>
    <t>https://drive.google.com/file/d/1n2nIOJFA0DmoIeJPZQ33QxTLWIGNV0zr/view?usp=sharing</t>
  </si>
  <si>
    <t>https://drive.google.com/file/d/1P_CtHKAMTMtBnU-TTzu0j7pxNgmeVi-v/view?usp=sharing</t>
  </si>
  <si>
    <t>E-0904-01-TH-Tr-3806122731-1</t>
  </si>
  <si>
    <t>3806122731-pim</t>
  </si>
  <si>
    <t>Mary Teague</t>
  </si>
  <si>
    <t>13122 Caves Rd</t>
  </si>
  <si>
    <t>CHESTERLAND</t>
  </si>
  <si>
    <t>OH</t>
  </si>
  <si>
    <t>https://drive.google.com/file/d/1b6YkaW04QmTN3HLKNnVtmBxfSErpojMB/view?usp=sharing</t>
  </si>
  <si>
    <t>E-0904-01-TH-Tr-3806122731-2</t>
  </si>
  <si>
    <t>https://drive.google.com/file/d/1-MOPpLPSNU8Jmgs0G9NB-Nm1BAM8dzP0/view?usp=sharing</t>
  </si>
  <si>
    <t>https://drive.google.com/file/d/1G9vGN6SzttBMCoxbLhnhVnPUieIwsU1R/view?usp=sharing</t>
  </si>
  <si>
    <t>E-2102-03-TH-Tr-3803059730-1</t>
  </si>
  <si>
    <t>Adult XL</t>
  </si>
  <si>
    <t>3803059730-3801553670-pim</t>
  </si>
  <si>
    <t>Brianna Rowe</t>
  </si>
  <si>
    <t>1525 Devine St # 1</t>
  </si>
  <si>
    <t>SCHENECTADY</t>
  </si>
  <si>
    <t>NY</t>
  </si>
  <si>
    <t>12308-1801</t>
  </si>
  <si>
    <t>https://drive.google.com/file/d/1zmH9yxkfK-3Z0TmndthDSQEJ1TCHAQjq/view?usp=sharing</t>
  </si>
  <si>
    <t>E-2102-03-TH-Tr-3801553670-2</t>
  </si>
  <si>
    <t>Adult 5XL</t>
  </si>
  <si>
    <t>https://drive.google.com/file/d/1DDZNyy8DrTz9iCrE_EFHvlj9dJvD2tyK/view?usp=sharing</t>
  </si>
  <si>
    <t>https://drive.google.com/file/d/1LErncexxiPXJF-UYzYcebEiLKdDZUkwf/view?usp=sharing</t>
  </si>
  <si>
    <t>E-1802-02-TH-Tr-3804045662</t>
  </si>
  <si>
    <t>Trắng</t>
  </si>
  <si>
    <t>3804045662-con</t>
  </si>
  <si>
    <t>Riva Maliniak</t>
  </si>
  <si>
    <t>701 Wolfsnare Cres</t>
  </si>
  <si>
    <t>VIRGINIA BEACH</t>
  </si>
  <si>
    <t>VA</t>
  </si>
  <si>
    <t>https://drive.google.com/file/d/1Qk7Fcp_OL5kBssD1u6F4Phvy71NjGS3v/view?usp=sharing</t>
  </si>
  <si>
    <t>https://drive.google.com/file/d/1oA5C-OgQ8yblMFj1i1_c8QC6yg1BH9mU/view?usp=sharing</t>
  </si>
  <si>
    <t>BRKID</t>
  </si>
  <si>
    <t>E-2102-02-TH-HL-3792303404</t>
  </si>
  <si>
    <t>18M</t>
  </si>
  <si>
    <t>3792303404rs-con</t>
  </si>
  <si>
    <t>Julia Sexton</t>
  </si>
  <si>
    <t>5 Egret Cv</t>
  </si>
  <si>
    <t>SACO</t>
  </si>
  <si>
    <t>ME</t>
  </si>
  <si>
    <t>04072</t>
  </si>
  <si>
    <t>https://i.etsystatic.com/38852545/r/il/0dd72d/6874729096/il_794xN.6874729096_4nsp.jpg</t>
  </si>
  <si>
    <t>SizeYouth M
Design#1
Personalization
Front : Tridents
Back: MOORE , 21</t>
  </si>
  <si>
    <t>https://drive.google.com/file/d/1VhwFHXwF0G_nZxGrF0ujilQBs2Jnzl9T/view?usp=drive_link</t>
  </si>
  <si>
    <t>https://drive.google.com/file/d/1vu934jPAaAtWs19clun7SuZxWXGU1-9I/view?usp=drive_link</t>
  </si>
  <si>
    <t>090501-nt-Drip BJersey-duy</t>
  </si>
  <si>
    <t>#3806456903</t>
  </si>
  <si>
    <t>Diana Vasco</t>
  </si>
  <si>
    <t>2607 BRACSTON RD</t>
  </si>
  <si>
    <t>SizeYouth M
Design#1
Personalization
Front : Tridents
Back: KNIGHT, 3</t>
  </si>
  <si>
    <t>https://drive.google.com/file/d/1D8Czpmjf1l_7BD_B6U1eV8Hm1c9FU4m8/view?usp=drive_link</t>
  </si>
  <si>
    <t>https://drive.google.com/file/d/1bSd22yUUQv7v91dOqIKBVLTpZXpCLBr_/view?usp=drive_link</t>
  </si>
  <si>
    <t>https://drive.google.com/file/d/1axFEjaEDE8lo6ug1S--Wrcdbycf-ZJfB/view?usp=drive_link</t>
  </si>
  <si>
    <t>https://drive.google.com/file/d/1wXdtHkiJUWY2OK2gSy-hH16pLve00OqD/view?usp=drive_link</t>
  </si>
  <si>
    <t>https://drive.google.com/file/d/1eYIR7zT5Av7nfLFJTZ1tomEInv3A4srk/view?usp=drive_link</t>
  </si>
  <si>
    <t>https://drive.google.com/file/d/14nM9llbZiGqhv5YFL6ZRSjOp8cru1iie/view?usp=drive_link</t>
  </si>
  <si>
    <t>https://drive.google.com/file/d/1gDfznPCbVZaIQVmS-4PFq0bqESK0EXHx/view?usp=drive_link</t>
  </si>
  <si>
    <t>https://drive.google.com/file/d/1XZyLoa8QC_7QGT6wy0wwnZdVl6sriXyo/view?usp=drive_link</t>
  </si>
  <si>
    <t>https://drive.google.com/file/d/1cbav8F7Hc0HFBTJhY1R3dWvLdWL1q2WX/view?usp=drive_link</t>
  </si>
  <si>
    <t>Khổ 50x30mm</t>
  </si>
  <si>
    <t>VINNIE THAM
4670 ASSEMBLY WAY, UNIT 4209 (BUZZER 3507)
BURNABY, BC, Canada, V5H0H3</t>
  </si>
  <si>
    <t>Tên + Địa chỉ</t>
  </si>
  <si>
    <t>Tên</t>
  </si>
  <si>
    <t>Address 1, Address 2</t>
  </si>
  <si>
    <t>City, States, Country, postalCode</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</si>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</sst>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đ-42A]"/>
    <numFmt numFmtId="165" formatCode="dd/mm"/>
    <numFmt numFmtId="166" formatCode="#00000"/>
  </numFmts>
  <fonts count="17">
    <font>
      <sz val="10"/>
      <color rgb="FF000000"/>
      <name val="Arial"/>
      <scheme val="minor"/>
    </font>
    <font>
      <sz val="10"/>
      <color rgb="FF000000"/>
      <name val="&quot;Helvetica Neue&quot;"/>
    </font>
    <font>
      <sz val="11"/>
      <color rgb="FF000000"/>
      <name val="Calibri"/>
    </font>
    <font>
      <sz val="10"/>
      <color rgb="FF000000"/>
      <name val="Arial"/>
    </font>
    <font>
      <u/>
      <sz val="10"/>
      <color rgb="FF1155CC"/>
      <name val="Arial"/>
    </font>
    <font>
      <b/>
      <sz val="10"/>
      <color rgb="FF000000"/>
      <name val="&quot;Helvetica Neue&quot;"/>
    </font>
    <font>
      <b/>
      <sz val="10"/>
      <color rgb="FF000000"/>
      <name val="Arial"/>
    </font>
    <font>
      <u/>
      <sz val="10"/>
      <color rgb="FF1155CC"/>
      <name val="Arial"/>
    </font>
    <font>
      <sz val="10"/>
      <color theme="1"/>
      <name val="Arial"/>
    </font>
    <font>
      <b/>
      <sz val="10"/>
      <color theme="1"/>
      <name val="Arial"/>
    </font>
    <font>
      <u/>
      <sz val="10"/>
      <color rgb="FF1155CC"/>
      <name val="Arial"/>
    </font>
    <font>
      <u/>
      <sz val="10"/>
      <color rgb="FF0000FF"/>
      <name val="Arial"/>
    </font>
    <font>
      <sz val="11"/>
      <color theme="1"/>
      <name val="Arial"/>
    </font>
    <font>
      <u/>
      <sz val="10"/>
      <color rgb="FF1155CC"/>
      <name val="Arial"/>
    </font>
    <font>
      <u/>
      <sz val="10"/>
      <color rgb="FF0000FF"/>
      <name val="Arial"/>
    </font>
    <font>
      <u/>
      <sz val="10"/>
      <color rgb="FF1155CC"/>
      <name val="Arial"/>
    </font>
    <font>
      <sz val="10"/>
      <color theme="1"/>
      <name val="Arial"/>
      <scheme val="minor"/>
    </font>
  </fonts>
  <fills count="1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93C47D"/>
        <bgColor rgb="FF93C47D"/>
      </patternFill>
    </fill>
    <fill>
      <patternFill patternType="solid">
        <fgColor rgb="FFEAD1DC"/>
        <bgColor rgb="FFEAD1DC"/>
      </patternFill>
    </fill>
    <fill>
      <patternFill patternType="solid">
        <fgColor rgb="FFA2C4C9"/>
        <bgColor rgb="FFA2C4C9"/>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CCCCCC"/>
        <bgColor rgb="FFCCCCCC"/>
      </patternFill>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applyFont="1" applyAlignment="1"/>
    <xf numFmtId="0" fontId="1" fillId="0" borderId="0" xfId="0" applyFont="1" applyAlignment="1"/>
    <xf numFmtId="0" fontId="1" fillId="0" borderId="0" xfId="0" applyFont="1" applyAlignment="1">
      <alignment horizontal="center"/>
    </xf>
    <xf numFmtId="0" fontId="1" fillId="2" borderId="0" xfId="0" applyFont="1" applyFill="1" applyAlignment="1">
      <alignment horizontal="center"/>
    </xf>
    <xf numFmtId="0" fontId="2" fillId="0" borderId="0" xfId="0" applyFont="1" applyAlignment="1"/>
    <xf numFmtId="0" fontId="3" fillId="0" borderId="0" xfId="0" applyFont="1" applyAlignment="1"/>
    <xf numFmtId="0" fontId="3" fillId="0" borderId="0" xfId="0" applyFont="1"/>
    <xf numFmtId="0" fontId="4" fillId="0" borderId="0" xfId="0" applyFont="1" applyAlignment="1"/>
    <xf numFmtId="164" fontId="3" fillId="0" borderId="0" xfId="0" applyNumberFormat="1" applyFont="1" applyAlignment="1"/>
    <xf numFmtId="164" fontId="3" fillId="3" borderId="0" xfId="0" applyNumberFormat="1" applyFont="1" applyFill="1" applyAlignment="1"/>
    <xf numFmtId="0" fontId="3" fillId="0" borderId="0" xfId="0" applyFont="1" applyAlignment="1"/>
    <xf numFmtId="0" fontId="3" fillId="0" borderId="0" xfId="0" applyFont="1" applyAlignment="1"/>
    <xf numFmtId="0" fontId="5" fillId="4" borderId="0" xfId="0" applyFont="1" applyFill="1" applyAlignment="1"/>
    <xf numFmtId="0" fontId="3" fillId="5" borderId="0" xfId="0" applyFont="1" applyFill="1" applyAlignment="1"/>
    <xf numFmtId="0" fontId="3" fillId="0" borderId="0" xfId="0" applyFont="1" applyAlignment="1">
      <alignment horizontal="center"/>
    </xf>
    <xf numFmtId="0" fontId="6" fillId="0" borderId="0" xfId="0" applyFont="1" applyAlignment="1">
      <alignment horizontal="right"/>
    </xf>
    <xf numFmtId="0" fontId="3" fillId="0" borderId="0" xfId="0" applyFont="1" applyAlignment="1">
      <alignment horizontal="right"/>
    </xf>
    <xf numFmtId="165" fontId="3" fillId="0" borderId="0" xfId="0" applyNumberFormat="1" applyFont="1" applyAlignment="1"/>
    <xf numFmtId="164" fontId="3" fillId="3" borderId="0" xfId="0" applyNumberFormat="1" applyFont="1" applyFill="1" applyAlignment="1"/>
    <xf numFmtId="164" fontId="3" fillId="0" borderId="0" xfId="0" applyNumberFormat="1" applyFont="1" applyAlignment="1"/>
    <xf numFmtId="0" fontId="1" fillId="6" borderId="0" xfId="0" applyFont="1" applyFill="1" applyAlignment="1"/>
    <xf numFmtId="0" fontId="1" fillId="7" borderId="0" xfId="0" applyFont="1" applyFill="1" applyAlignment="1"/>
    <xf numFmtId="164" fontId="3" fillId="0" borderId="0" xfId="0" applyNumberFormat="1" applyFont="1" applyAlignment="1"/>
    <xf numFmtId="164" fontId="3" fillId="6" borderId="0" xfId="0" applyNumberFormat="1" applyFont="1" applyFill="1" applyAlignment="1"/>
    <xf numFmtId="0" fontId="3" fillId="6" borderId="0" xfId="0" applyFont="1" applyFill="1" applyAlignment="1"/>
    <xf numFmtId="0" fontId="3" fillId="0" borderId="0" xfId="0" applyFont="1" applyAlignment="1"/>
    <xf numFmtId="0" fontId="5" fillId="4" borderId="0" xfId="0" applyFont="1" applyFill="1" applyAlignment="1"/>
    <xf numFmtId="0" fontId="3" fillId="3" borderId="0" xfId="0" applyFont="1" applyFill="1" applyAlignment="1"/>
    <xf numFmtId="0" fontId="6" fillId="0" borderId="0" xfId="0" applyFont="1" applyAlignment="1"/>
    <xf numFmtId="0" fontId="3" fillId="8" borderId="0" xfId="0" applyFont="1" applyFill="1" applyAlignment="1"/>
    <xf numFmtId="0" fontId="5" fillId="9" borderId="0" xfId="0" applyFont="1" applyFill="1" applyAlignment="1"/>
    <xf numFmtId="0" fontId="3" fillId="10" borderId="0" xfId="0" applyFont="1" applyFill="1" applyAlignment="1"/>
    <xf numFmtId="0" fontId="3" fillId="4" borderId="0" xfId="0" applyFont="1" applyFill="1" applyAlignment="1"/>
    <xf numFmtId="0" fontId="3" fillId="11" borderId="0" xfId="0" applyFont="1" applyFill="1" applyAlignment="1"/>
    <xf numFmtId="0" fontId="5" fillId="0" borderId="0" xfId="0" applyFont="1" applyAlignment="1"/>
    <xf numFmtId="0" fontId="5" fillId="12" borderId="0" xfId="0" applyFont="1" applyFill="1" applyAlignment="1"/>
    <xf numFmtId="0" fontId="7" fillId="0" borderId="0" xfId="0" applyFont="1" applyAlignment="1"/>
    <xf numFmtId="0" fontId="3" fillId="13" borderId="0" xfId="0" applyFont="1" applyFill="1" applyAlignment="1"/>
    <xf numFmtId="0" fontId="8" fillId="0" borderId="0" xfId="0" applyFont="1"/>
    <xf numFmtId="0" fontId="9" fillId="0" borderId="0" xfId="0" applyFont="1" applyAlignment="1"/>
    <xf numFmtId="0" fontId="9" fillId="14" borderId="0" xfId="0" applyFont="1" applyFill="1" applyAlignment="1"/>
    <xf numFmtId="0" fontId="8" fillId="0" borderId="0" xfId="0" applyFont="1" applyAlignment="1"/>
    <xf numFmtId="0" fontId="9" fillId="14" borderId="0" xfId="0" applyFont="1" applyFill="1" applyAlignment="1">
      <alignment horizontal="center"/>
    </xf>
    <xf numFmtId="0" fontId="9" fillId="14" borderId="0" xfId="0" applyFont="1" applyFill="1" applyAlignment="1">
      <alignment horizontal="center"/>
    </xf>
    <xf numFmtId="0" fontId="9" fillId="0" borderId="0" xfId="0" applyFont="1" applyAlignment="1">
      <alignment horizontal="center"/>
    </xf>
    <xf numFmtId="166" fontId="9" fillId="0" borderId="0" xfId="0" applyNumberFormat="1" applyFont="1" applyAlignment="1"/>
    <xf numFmtId="0" fontId="8" fillId="0" borderId="0" xfId="0" applyFont="1" applyAlignment="1"/>
    <xf numFmtId="0" fontId="10" fillId="0" borderId="0" xfId="0" applyFont="1" applyAlignment="1"/>
    <xf numFmtId="0" fontId="11" fillId="14" borderId="0" xfId="0" applyFont="1" applyFill="1" applyAlignment="1"/>
    <xf numFmtId="0" fontId="8" fillId="14" borderId="0" xfId="0" applyFont="1" applyFill="1" applyAlignment="1">
      <alignment horizontal="center"/>
    </xf>
    <xf numFmtId="0" fontId="8" fillId="14" borderId="0" xfId="0" applyFont="1" applyFill="1" applyAlignment="1"/>
    <xf numFmtId="0" fontId="8" fillId="0" borderId="0" xfId="0" applyFont="1" applyAlignment="1">
      <alignment horizontal="center"/>
    </xf>
    <xf numFmtId="0" fontId="12" fillId="0" borderId="0" xfId="0" applyFont="1" applyAlignment="1"/>
    <xf numFmtId="0" fontId="13" fillId="14" borderId="0" xfId="0" applyFont="1" applyFill="1" applyAlignment="1"/>
    <xf numFmtId="0" fontId="8" fillId="14" borderId="0" xfId="0" applyFont="1" applyFill="1"/>
    <xf numFmtId="0" fontId="14" fillId="0" borderId="0" xfId="0" applyFont="1" applyAlignment="1"/>
    <xf numFmtId="0" fontId="15" fillId="2" borderId="0" xfId="0" applyFont="1" applyFill="1" applyAlignment="1"/>
    <xf numFmtId="0" fontId="8" fillId="0" borderId="0" xfId="0" applyFont="1" applyAlignment="1">
      <alignment horizontal="right"/>
    </xf>
    <xf numFmtId="0" fontId="8" fillId="0" borderId="0" xfId="0" quotePrefix="1" applyFont="1" applyAlignment="1"/>
    <xf numFmtId="0" fontId="16" fillId="14" borderId="0" xfId="0" applyFont="1" applyFill="1"/>
    <xf numFmtId="0" fontId="16" fillId="0" borderId="0" xfId="0" applyFont="1" applyAlignment="1"/>
    <xf numFmtId="0" fontId="16" fillId="0" borderId="1" xfId="0" applyFont="1" applyBorder="1" applyAlignment="1">
      <alignment horizontal="left" vertical="center"/>
    </xf>
    <xf numFmtId="0" fontId="16" fillId="0" borderId="0" xfId="0" applyFont="1" applyAlignment="1">
      <alignment horizontal="left"/>
    </xf>
    <xf numFmtId="0" fontId="10"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hOZQn2ObmrPyvcak9aHezeANai5btsL-/view?usp=drive_link" TargetMode="External"/><Relationship Id="rId18" Type="http://schemas.openxmlformats.org/officeDocument/2006/relationships/hyperlink" Target="https://drive.google.com/file/d/1UvTH2ZW0FHDGH92g-fZZsDBT_ny2Vw2n/view?usp=drive_link" TargetMode="External"/><Relationship Id="rId26" Type="http://schemas.openxmlformats.org/officeDocument/2006/relationships/hyperlink" Target="https://drive.google.com/file/d/1D3_kFdfSd1z1YLVPncCDY64Gx2RkufTv/view?usp=drive_link" TargetMode="External"/><Relationship Id="rId39" Type="http://schemas.openxmlformats.org/officeDocument/2006/relationships/hyperlink" Target="https://drive.google.com/file/d/17tby8YbAwjBm0YCKnZS0dN0BerAP3cNn/view?usp=drive_link" TargetMode="External"/><Relationship Id="rId21" Type="http://schemas.openxmlformats.org/officeDocument/2006/relationships/hyperlink" Target="https://drive.google.com/file/d/1OqNe7OST4CceUogxLlZThqnLwnpWh-wh/view?usp=drive_link" TargetMode="External"/><Relationship Id="rId34" Type="http://schemas.openxmlformats.org/officeDocument/2006/relationships/hyperlink" Target="https://drive.google.com/file/d/1UvTH2ZW0FHDGH92g-fZZsDBT_ny2Vw2n/view?usp=drive_link" TargetMode="External"/><Relationship Id="rId42" Type="http://schemas.openxmlformats.org/officeDocument/2006/relationships/hyperlink" Target="https://drive.google.com/file/d/1v-30z3_Crbn6KXKo9tRjFUk7r_7PUp9i/view?usp=drive_link" TargetMode="External"/><Relationship Id="rId7" Type="http://schemas.openxmlformats.org/officeDocument/2006/relationships/hyperlink" Target="https://drive.google.com/file/d/1jIVFvnMcwhGLOgFCLdtnjeWhPUv2cgsU/view?usp=drive_link" TargetMode="External"/><Relationship Id="rId2" Type="http://schemas.openxmlformats.org/officeDocument/2006/relationships/hyperlink" Target="https://drive.google.com/file/d/1jIVFvnMcwhGLOgFCLdtnjeWhPUv2cgsU/view?usp=drive_link" TargetMode="External"/><Relationship Id="rId16" Type="http://schemas.openxmlformats.org/officeDocument/2006/relationships/hyperlink" Target="https://drive.google.com/file/d/1UvTH2ZW0FHDGH92g-fZZsDBT_ny2Vw2n/view?usp=drive_link" TargetMode="External"/><Relationship Id="rId20" Type="http://schemas.openxmlformats.org/officeDocument/2006/relationships/hyperlink" Target="https://drive.google.com/file/d/1OqNe7OST4CceUogxLlZThqnLwnpWh-wh/view?usp=drive_link" TargetMode="External"/><Relationship Id="rId29" Type="http://schemas.openxmlformats.org/officeDocument/2006/relationships/hyperlink" Target="https://drive.google.com/file/d/1zjRY43rqzgknPZu3Kqcvbe4uNVe1dB5b/view?usp=drive_link" TargetMode="External"/><Relationship Id="rId41" Type="http://schemas.openxmlformats.org/officeDocument/2006/relationships/hyperlink" Target="https://drive.google.com/file/d/1tUlkBkEo4e9WOhcdUD9-Oi7aj3iCcfsF/view?usp=drive_link" TargetMode="External"/><Relationship Id="rId1" Type="http://schemas.openxmlformats.org/officeDocument/2006/relationships/hyperlink" Target="https://drive.google.com/file/d/1qGl743L7gdrlcnJjL8mtcQuGQPqFIVSq/view?usp=drive_link" TargetMode="External"/><Relationship Id="rId6" Type="http://schemas.openxmlformats.org/officeDocument/2006/relationships/hyperlink" Target="https://drive.google.com/file/d/1jIVFvnMcwhGLOgFCLdtnjeWhPUv2cgsU/view?usp=drive_link" TargetMode="External"/><Relationship Id="rId11" Type="http://schemas.openxmlformats.org/officeDocument/2006/relationships/hyperlink" Target="https://drive.google.com/file/d/1hOZQn2ObmrPyvcak9aHezeANai5btsL-/view?usp=drive_link" TargetMode="External"/><Relationship Id="rId24" Type="http://schemas.openxmlformats.org/officeDocument/2006/relationships/hyperlink" Target="https://drive.google.com/file/d/1tT4PWwUMcqUnlr7vBSUnDgi6_Vy5Fk8t/view?usp=drive_link" TargetMode="External"/><Relationship Id="rId32" Type="http://schemas.openxmlformats.org/officeDocument/2006/relationships/hyperlink" Target="https://drive.google.com/file/d/1j1uGfoGYtxGEpkv0uSHrhOQbjsdydWmz/view?usp=drive_link" TargetMode="External"/><Relationship Id="rId37" Type="http://schemas.openxmlformats.org/officeDocument/2006/relationships/hyperlink" Target="https://drive.google.com/file/d/1tUlkBkEo4e9WOhcdUD9-Oi7aj3iCcfsF/view?usp=drive_link" TargetMode="External"/><Relationship Id="rId40" Type="http://schemas.openxmlformats.org/officeDocument/2006/relationships/hyperlink" Target="https://drive.google.com/file/d/1dkwmABZmew5BQcmOC1wewpfAN5JAz96a/view?usp=drive_link" TargetMode="External"/><Relationship Id="rId5" Type="http://schemas.openxmlformats.org/officeDocument/2006/relationships/hyperlink" Target="https://drive.google.com/file/d/1jIVFvnMcwhGLOgFCLdtnjeWhPUv2cgsU/view?usp=drive_link" TargetMode="External"/><Relationship Id="rId15" Type="http://schemas.openxmlformats.org/officeDocument/2006/relationships/hyperlink" Target="https://drive.google.com/file/d/1BFqfJPJuf7pnQuZH3xOEazA05eSvDHqJ/view?usp=drive_link" TargetMode="External"/><Relationship Id="rId23" Type="http://schemas.openxmlformats.org/officeDocument/2006/relationships/hyperlink" Target="https://drive.google.com/file/d/1MTs5Imy38fDmvJUUS8e_9dkP3snyN-dv/view?usp=drive_link" TargetMode="External"/><Relationship Id="rId28" Type="http://schemas.openxmlformats.org/officeDocument/2006/relationships/hyperlink" Target="https://drive.google.com/file/d/1zjRY43rqzgknPZu3Kqcvbe4uNVe1dB5b/view?usp=drive_link" TargetMode="External"/><Relationship Id="rId36" Type="http://schemas.openxmlformats.org/officeDocument/2006/relationships/hyperlink" Target="https://drive.google.com/file/d/1gQtyRWyykvVaWDxVK1h3FlgORgDaLoTm/view?usp=drive_link" TargetMode="External"/><Relationship Id="rId10" Type="http://schemas.openxmlformats.org/officeDocument/2006/relationships/hyperlink" Target="https://drive.google.com/file/d/1hOZQn2ObmrPyvcak9aHezeANai5btsL-/view?usp=drive_link" TargetMode="External"/><Relationship Id="rId19" Type="http://schemas.openxmlformats.org/officeDocument/2006/relationships/hyperlink" Target="https://drive.google.com/file/d/1OqNe7OST4CceUogxLlZThqnLwnpWh-wh/view?usp=drive_link" TargetMode="External"/><Relationship Id="rId31" Type="http://schemas.openxmlformats.org/officeDocument/2006/relationships/hyperlink" Target="https://drive.google.com/file/d/1UvTH2ZW0FHDGH92g-fZZsDBT_ny2Vw2n/view?usp=drive_link" TargetMode="External"/><Relationship Id="rId4" Type="http://schemas.openxmlformats.org/officeDocument/2006/relationships/hyperlink" Target="https://drive.google.com/file/d/1jIVFvnMcwhGLOgFCLdtnjeWhPUv2cgsU/view?usp=drive_link" TargetMode="External"/><Relationship Id="rId9" Type="http://schemas.openxmlformats.org/officeDocument/2006/relationships/hyperlink" Target="https://drive.google.com/file/d/1jIVFvnMcwhGLOgFCLdtnjeWhPUv2cgsU/view?usp=drive_link" TargetMode="External"/><Relationship Id="rId14" Type="http://schemas.openxmlformats.org/officeDocument/2006/relationships/hyperlink" Target="https://i.etsystatic.com/icm/9079e4/746862318/icm_fullxfull.746862318_hc1xividtdwksg440808.jpg?version=0https://i.etsystatic.com/icm/9c6815/751224263/icm_fullxfull.751224263_jsbxxagua4g48csg0440.jpg?version=0" TargetMode="External"/><Relationship Id="rId22" Type="http://schemas.openxmlformats.org/officeDocument/2006/relationships/hyperlink" Target="https://drive.google.com/file/d/1OqNe7OST4CceUogxLlZThqnLwnpWh-wh/view?usp=drive_link" TargetMode="External"/><Relationship Id="rId27" Type="http://schemas.openxmlformats.org/officeDocument/2006/relationships/hyperlink" Target="https://drive.google.com/file/d/1t32qwZtSzKhIGosHald3fKToCnKf8hJo/view?usp=drive_link" TargetMode="External"/><Relationship Id="rId30" Type="http://schemas.openxmlformats.org/officeDocument/2006/relationships/hyperlink" Target="https://drive.google.com/file/d/1UvTH2ZW0FHDGH92g-fZZsDBT_ny2Vw2n/view?usp=drive_link" TargetMode="External"/><Relationship Id="rId35" Type="http://schemas.openxmlformats.org/officeDocument/2006/relationships/hyperlink" Target="https://drive.google.com/file/d/17tby8YbAwjBm0YCKnZS0dN0BerAP3cNn/view?usp=drive_link" TargetMode="External"/><Relationship Id="rId8" Type="http://schemas.openxmlformats.org/officeDocument/2006/relationships/hyperlink" Target="https://drive.google.com/file/d/1jIVFvnMcwhGLOgFCLdtnjeWhPUv2cgsU/view?usp=drive_link" TargetMode="External"/><Relationship Id="rId3" Type="http://schemas.openxmlformats.org/officeDocument/2006/relationships/hyperlink" Target="https://drive.google.com/file/d/1jIVFvnMcwhGLOgFCLdtnjeWhPUv2cgsU/view?usp=drive_link" TargetMode="External"/><Relationship Id="rId12" Type="http://schemas.openxmlformats.org/officeDocument/2006/relationships/hyperlink" Target="https://drive.google.com/file/d/1hOZQn2ObmrPyvcak9aHezeANai5btsL-/view?usp=drive_link" TargetMode="External"/><Relationship Id="rId17" Type="http://schemas.openxmlformats.org/officeDocument/2006/relationships/hyperlink" Target="https://drive.google.com/file/d/1UvTH2ZW0FHDGH92g-fZZsDBT_ny2Vw2n/view?usp=drive_link" TargetMode="External"/><Relationship Id="rId25" Type="http://schemas.openxmlformats.org/officeDocument/2006/relationships/hyperlink" Target="https://drive.google.com/file/d/17b3axTG5q4NfCOQ2vhTbjOLkBWdU0n8A/view?usp=drive_link" TargetMode="External"/><Relationship Id="rId33" Type="http://schemas.openxmlformats.org/officeDocument/2006/relationships/hyperlink" Target="https://drive.google.com/file/d/1UvTH2ZW0FHDGH92g-fZZsDBT_ny2Vw2n/view?usp=drive_link" TargetMode="External"/><Relationship Id="rId38" Type="http://schemas.openxmlformats.org/officeDocument/2006/relationships/hyperlink" Target="https://drive.google.com/file/d/1hOZQn2ObmrPyvcak9aHezeANai5btsL-/view?usp=drive_lin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BrL6AKbEAwF9H-jj741TQnlBgSSBDBvv/view?usp=drive_link" TargetMode="External"/><Relationship Id="rId18" Type="http://schemas.openxmlformats.org/officeDocument/2006/relationships/hyperlink" Target="https://i.etsystatic.com/38852545/r/il/f80e70/6149201980/il_794xN.6149201980_3mfn.jpg" TargetMode="External"/><Relationship Id="rId26" Type="http://schemas.openxmlformats.org/officeDocument/2006/relationships/hyperlink" Target="https://drive.google.com/file/d/1JVVfz04ieMXZYyKP6ML1xOxNKioyULd4/view?usp=sharing" TargetMode="External"/><Relationship Id="rId39" Type="http://schemas.openxmlformats.org/officeDocument/2006/relationships/hyperlink" Target="https://drive.google.com/file/d/1JVVfz04ieMXZYyKP6ML1xOxNKioyULd4/view?usp=sharing" TargetMode="External"/><Relationship Id="rId21" Type="http://schemas.openxmlformats.org/officeDocument/2006/relationships/hyperlink" Target="https://drive.google.com/file/d/1JVVfz04ieMXZYyKP6ML1xOxNKioyULd4/view?usp=sharing" TargetMode="External"/><Relationship Id="rId34" Type="http://schemas.openxmlformats.org/officeDocument/2006/relationships/hyperlink" Target="https://drive.google.com/file/d/1G9vGN6SzttBMCoxbLhnhVnPUieIwsU1R/view?usp=sharing" TargetMode="External"/><Relationship Id="rId42" Type="http://schemas.openxmlformats.org/officeDocument/2006/relationships/hyperlink" Target="https://drive.google.com/file/d/1JVVfz04ieMXZYyKP6ML1xOxNKioyULd4/view?usp=sharing" TargetMode="External"/><Relationship Id="rId47" Type="http://schemas.openxmlformats.org/officeDocument/2006/relationships/hyperlink" Target="https://drive.google.com/file/d/1VhwFHXwF0G_nZxGrF0ujilQBs2Jnzl9T/view?usp=drive_link" TargetMode="External"/><Relationship Id="rId50" Type="http://schemas.openxmlformats.org/officeDocument/2006/relationships/hyperlink" Target="https://drive.google.com/file/d/1JVVfz04ieMXZYyKP6ML1xOxNKioyULd4/view?usp=sharing" TargetMode="External"/><Relationship Id="rId55" Type="http://schemas.openxmlformats.org/officeDocument/2006/relationships/hyperlink" Target="https://drive.google.com/file/d/1wXdtHkiJUWY2OK2gSy-hH16pLve00OqD/view?usp=drive_link" TargetMode="External"/><Relationship Id="rId7" Type="http://schemas.openxmlformats.org/officeDocument/2006/relationships/hyperlink" Target="https://drive.google.com/file/d/1fy0ZdbQqV4DGFtCZxB-z5tJohBdUKHsy/view?usp=drive_link" TargetMode="External"/><Relationship Id="rId2" Type="http://schemas.openxmlformats.org/officeDocument/2006/relationships/hyperlink" Target="https://drive.google.com/file/d/1JVVfz04ieMXZYyKP6ML1xOxNKioyULd4/view?usp=sharing" TargetMode="External"/><Relationship Id="rId16" Type="http://schemas.openxmlformats.org/officeDocument/2006/relationships/hyperlink" Target="https://drive.google.com/file/d/1JVVfz04ieMXZYyKP6ML1xOxNKioyULd4/view?usp=sharing" TargetMode="External"/><Relationship Id="rId29" Type="http://schemas.openxmlformats.org/officeDocument/2006/relationships/hyperlink" Target="https://drive.google.com/file/d/1LLICLi39CxhhcuU-RrIMD3LYyv6KIwgO/view?usp=sharing" TargetMode="External"/><Relationship Id="rId11" Type="http://schemas.openxmlformats.org/officeDocument/2006/relationships/hyperlink" Target="https://i.etsystatic.com/38852545/r/il/2860c8/6282085784/il_794xN.6282085784_ka88.jpg" TargetMode="External"/><Relationship Id="rId24" Type="http://schemas.openxmlformats.org/officeDocument/2006/relationships/hyperlink" Target="https://drive.google.com/file/d/1yJA59w72DplU3tHIpaypvJHv7B1qoZov/view?usp=sharing" TargetMode="External"/><Relationship Id="rId32" Type="http://schemas.openxmlformats.org/officeDocument/2006/relationships/hyperlink" Target="https://drive.google.com/file/d/1-MOPpLPSNU8Jmgs0G9NB-Nm1BAM8dzP0/view?usp=sharing" TargetMode="External"/><Relationship Id="rId37" Type="http://schemas.openxmlformats.org/officeDocument/2006/relationships/hyperlink" Target="https://drive.google.com/file/d/1zmH9yxkfK-3Z0TmndthDSQEJ1TCHAQjq/view?usp=sharing" TargetMode="External"/><Relationship Id="rId40" Type="http://schemas.openxmlformats.org/officeDocument/2006/relationships/hyperlink" Target="https://drive.google.com/file/d/1LErncexxiPXJF-UYzYcebEiLKdDZUkwf/view?usp=sharing" TargetMode="External"/><Relationship Id="rId45" Type="http://schemas.openxmlformats.org/officeDocument/2006/relationships/hyperlink" Target="https://i.etsystatic.com/38852545/r/il/0dd72d/6874729096/il_794xN.6874729096_4nsp.jpg" TargetMode="External"/><Relationship Id="rId53" Type="http://schemas.openxmlformats.org/officeDocument/2006/relationships/hyperlink" Target="https://drive.google.com/file/d/1bSd22yUUQv7v91dOqIKBVLTpZXpCLBr_/view?usp=drive_link" TargetMode="External"/><Relationship Id="rId58" Type="http://schemas.openxmlformats.org/officeDocument/2006/relationships/hyperlink" Target="https://drive.google.com/file/d/1gDfznPCbVZaIQVmS-4PFq0bqESK0EXHx/view?usp=drive_link" TargetMode="External"/><Relationship Id="rId5" Type="http://schemas.openxmlformats.org/officeDocument/2006/relationships/hyperlink" Target="https://i.etsystatic.com/38852545/r/il/7b353f/6369296714/il_794xN.6369296714_d8jp.jpg" TargetMode="External"/><Relationship Id="rId19" Type="http://schemas.openxmlformats.org/officeDocument/2006/relationships/hyperlink" Target="https://drive.google.com/file/d/1JVVfz04ieMXZYyKP6ML1xOxNKioyULd4/view?usp=sharing" TargetMode="External"/><Relationship Id="rId4" Type="http://schemas.openxmlformats.org/officeDocument/2006/relationships/hyperlink" Target="https://drive.google.com/file/d/15uVdfVe821I4Wp-mNlZkslQyn2Rw08cw/view?usp=drive_link" TargetMode="External"/><Relationship Id="rId9" Type="http://schemas.openxmlformats.org/officeDocument/2006/relationships/hyperlink" Target="https://drive.google.com/file/d/1JVVfz04ieMXZYyKP6ML1xOxNKioyULd4/view?usp=sharing" TargetMode="External"/><Relationship Id="rId14" Type="http://schemas.openxmlformats.org/officeDocument/2006/relationships/hyperlink" Target="https://drive.google.com/file/d/13krY93jmDAPyY0IfIyeHTXY5SpsvvJpZ/view?usp=drive_link" TargetMode="External"/><Relationship Id="rId22" Type="http://schemas.openxmlformats.org/officeDocument/2006/relationships/hyperlink" Target="https://drive.google.com/file/d/17GKpL8TN1NnpcOVhrEJE8hajisz3w0XH/view?usp=sharing" TargetMode="External"/><Relationship Id="rId27" Type="http://schemas.openxmlformats.org/officeDocument/2006/relationships/hyperlink" Target="https://drive.google.com/file/d/1n2nIOJFA0DmoIeJPZQ33QxTLWIGNV0zr/view?usp=sharing" TargetMode="External"/><Relationship Id="rId30" Type="http://schemas.openxmlformats.org/officeDocument/2006/relationships/hyperlink" Target="https://drive.google.com/file/d/1JVVfz04ieMXZYyKP6ML1xOxNKioyULd4/view?usp=sharing" TargetMode="External"/><Relationship Id="rId35" Type="http://schemas.openxmlformats.org/officeDocument/2006/relationships/hyperlink" Target="https://drive.google.com/file/d/1-MOPpLPSNU8Jmgs0G9NB-Nm1BAM8dzP0/view?usp=sharing" TargetMode="External"/><Relationship Id="rId43" Type="http://schemas.openxmlformats.org/officeDocument/2006/relationships/hyperlink" Target="https://drive.google.com/file/d/1oA5C-OgQ8yblMFj1i1_c8QC6yg1BH9mU/view?usp=sharing" TargetMode="External"/><Relationship Id="rId48" Type="http://schemas.openxmlformats.org/officeDocument/2006/relationships/hyperlink" Target="https://drive.google.com/file/d/1vu934jPAaAtWs19clun7SuZxWXGU1-9I/view?usp=drive_link" TargetMode="External"/><Relationship Id="rId56" Type="http://schemas.openxmlformats.org/officeDocument/2006/relationships/hyperlink" Target="https://drive.google.com/file/d/1eYIR7zT5Av7nfLFJTZ1tomEInv3A4srk/view?usp=drive_link" TargetMode="External"/><Relationship Id="rId8" Type="http://schemas.openxmlformats.org/officeDocument/2006/relationships/hyperlink" Target="https://i.etsystatic.com/38852545/r/il/7b353f/6369296714/il_794xN.6369296714_d8jp.jpg" TargetMode="External"/><Relationship Id="rId51" Type="http://schemas.openxmlformats.org/officeDocument/2006/relationships/hyperlink" Target="https://drive.google.com/file/d/1D8Czpmjf1l_7BD_B6U1eV8Hm1c9FU4m8/view?usp=drive_link" TargetMode="External"/><Relationship Id="rId3" Type="http://schemas.openxmlformats.org/officeDocument/2006/relationships/hyperlink" Target="https://drive.google.com/file/d/1EJt2P2BBp8j5w4qdohPqyv19RMAwQJWT/view?usp=drive_link" TargetMode="External"/><Relationship Id="rId12" Type="http://schemas.openxmlformats.org/officeDocument/2006/relationships/hyperlink" Target="https://drive.google.com/file/d/1JVVfz04ieMXZYyKP6ML1xOxNKioyULd4/view?usp=sharing" TargetMode="External"/><Relationship Id="rId17" Type="http://schemas.openxmlformats.org/officeDocument/2006/relationships/hyperlink" Target="https://drive.google.com/file/d/1fDdOqXlvXE7Pz8gQzGgDmK0ZpshYd70l/view?usp=drive_link" TargetMode="External"/><Relationship Id="rId25" Type="http://schemas.openxmlformats.org/officeDocument/2006/relationships/hyperlink" Target="https://drive.google.com/file/d/1LLICLi39CxhhcuU-RrIMD3LYyv6KIwgO/view?usp=sharing" TargetMode="External"/><Relationship Id="rId33" Type="http://schemas.openxmlformats.org/officeDocument/2006/relationships/hyperlink" Target="https://drive.google.com/file/d/1JVVfz04ieMXZYyKP6ML1xOxNKioyULd4/view?usp=sharing" TargetMode="External"/><Relationship Id="rId38" Type="http://schemas.openxmlformats.org/officeDocument/2006/relationships/hyperlink" Target="https://drive.google.com/file/d/1DDZNyy8DrTz9iCrE_EFHvlj9dJvD2tyK/view?usp=sharing" TargetMode="External"/><Relationship Id="rId46" Type="http://schemas.openxmlformats.org/officeDocument/2006/relationships/hyperlink" Target="https://drive.google.com/file/d/1JVVfz04ieMXZYyKP6ML1xOxNKioyULd4/view?usp=sharing" TargetMode="External"/><Relationship Id="rId59" Type="http://schemas.openxmlformats.org/officeDocument/2006/relationships/hyperlink" Target="https://drive.google.com/file/d/1XZyLoa8QC_7QGT6wy0wwnZdVl6sriXyo/view?usp=drive_link" TargetMode="External"/><Relationship Id="rId20" Type="http://schemas.openxmlformats.org/officeDocument/2006/relationships/hyperlink" Target="https://drive.google.com/file/d/1vuy08DprxFb1npy718-6WDnvfDdaM4BW/view?usp=drive_link" TargetMode="External"/><Relationship Id="rId41" Type="http://schemas.openxmlformats.org/officeDocument/2006/relationships/hyperlink" Target="https://drive.google.com/file/d/1Qk7Fcp_OL5kBssD1u6F4Phvy71NjGS3v/view?usp=sharing" TargetMode="External"/><Relationship Id="rId54" Type="http://schemas.openxmlformats.org/officeDocument/2006/relationships/hyperlink" Target="https://drive.google.com/file/d/1axFEjaEDE8lo6ug1S--Wrcdbycf-ZJfB/view?usp=drive_link" TargetMode="External"/><Relationship Id="rId1" Type="http://schemas.openxmlformats.org/officeDocument/2006/relationships/hyperlink" Target="https://i.etsystatic.com/38852545/r/il/7b353f/6369296714/il_794xN.6369296714_d8jp.jpg" TargetMode="External"/><Relationship Id="rId6" Type="http://schemas.openxmlformats.org/officeDocument/2006/relationships/hyperlink" Target="https://drive.google.com/file/d/1JVVfz04ieMXZYyKP6ML1xOxNKioyULd4/view?usp=sharing" TargetMode="External"/><Relationship Id="rId15" Type="http://schemas.openxmlformats.org/officeDocument/2006/relationships/hyperlink" Target="https://i.etsystatic.com/38852545/r/il/2860c8/6282085784/il_794xN.6282085784_ka88.jpg" TargetMode="External"/><Relationship Id="rId23" Type="http://schemas.openxmlformats.org/officeDocument/2006/relationships/hyperlink" Target="https://drive.google.com/file/d/1JVVfz04ieMXZYyKP6ML1xOxNKioyULd4/view?usp=sharing" TargetMode="External"/><Relationship Id="rId28" Type="http://schemas.openxmlformats.org/officeDocument/2006/relationships/hyperlink" Target="https://drive.google.com/file/d/1P_CtHKAMTMtBnU-TTzu0j7pxNgmeVi-v/view?usp=sharing" TargetMode="External"/><Relationship Id="rId36" Type="http://schemas.openxmlformats.org/officeDocument/2006/relationships/hyperlink" Target="https://drive.google.com/file/d/1JVVfz04ieMXZYyKP6ML1xOxNKioyULd4/view?usp=sharing" TargetMode="External"/><Relationship Id="rId49" Type="http://schemas.openxmlformats.org/officeDocument/2006/relationships/hyperlink" Target="https://i.etsystatic.com/38852545/r/il/0dd72d/6874729096/il_794xN.6874729096_4nsp.jpg" TargetMode="External"/><Relationship Id="rId57" Type="http://schemas.openxmlformats.org/officeDocument/2006/relationships/hyperlink" Target="https://drive.google.com/file/d/14nM9llbZiGqhv5YFL6ZRSjOp8cru1iie/view?usp=drive_link" TargetMode="External"/><Relationship Id="rId10" Type="http://schemas.openxmlformats.org/officeDocument/2006/relationships/hyperlink" Target="https://drive.google.com/file/d/12IshrP7ky5b6Zw4zjqdYsjiF6kOw08KH/view?usp=drive_link" TargetMode="External"/><Relationship Id="rId31" Type="http://schemas.openxmlformats.org/officeDocument/2006/relationships/hyperlink" Target="https://drive.google.com/file/d/1b6YkaW04QmTN3HLKNnVtmBxfSErpojMB/view?usp=sharing" TargetMode="External"/><Relationship Id="rId44" Type="http://schemas.openxmlformats.org/officeDocument/2006/relationships/hyperlink" Target="https://drive.google.com/file/d/1JVVfz04ieMXZYyKP6ML1xOxNKioyULd4/view?usp=sharing" TargetMode="External"/><Relationship Id="rId52" Type="http://schemas.openxmlformats.org/officeDocument/2006/relationships/hyperlink" Target="https://drive.google.com/file/d/1JVVfz04ieMXZYyKP6ML1xOxNKioyULd4/view?usp=sharing" TargetMode="External"/><Relationship Id="rId60" Type="http://schemas.openxmlformats.org/officeDocument/2006/relationships/hyperlink" Target="https://drive.google.com/file/d/1cbav8F7Hc0HFBTJhY1R3dWvLdWL1q2WX/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K997"/>
  <sheetViews>
    <sheetView workbookViewId="0"/>
  </sheetViews>
  <sheetFormatPr defaultColWidth="12.5703125" defaultRowHeight="15.75" customHeight="1"/>
  <cols>
    <col min="4" max="4" width="48" customWidth="1"/>
  </cols>
  <sheetData>
    <row r="1" spans="1:63" ht="15.75" customHeight="1">
      <c r="A1" s="1" t="s">
        <v>0</v>
      </c>
      <c r="B1" s="2" t="s">
        <v>1</v>
      </c>
      <c r="C1" s="2" t="s">
        <v>2</v>
      </c>
      <c r="D1" s="2" t="s">
        <v>3</v>
      </c>
      <c r="E1" s="2" t="s">
        <v>4</v>
      </c>
      <c r="F1" s="2" t="s">
        <v>5</v>
      </c>
      <c r="G1" s="2" t="s">
        <v>6</v>
      </c>
      <c r="H1" s="3" t="s">
        <v>7</v>
      </c>
      <c r="I1" s="3"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4" t="s">
        <v>23</v>
      </c>
      <c r="Y1" s="4" t="s">
        <v>24</v>
      </c>
      <c r="Z1" s="4" t="s">
        <v>25</v>
      </c>
      <c r="AA1" s="4" t="s">
        <v>26</v>
      </c>
      <c r="AB1" s="5" t="s">
        <v>27</v>
      </c>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row>
    <row r="2" spans="1:63" ht="12.75">
      <c r="A2" s="7" t="s">
        <v>28</v>
      </c>
      <c r="B2" s="8"/>
      <c r="C2" s="8"/>
      <c r="D2" s="9" t="s">
        <v>29</v>
      </c>
      <c r="E2" s="10" t="s">
        <v>30</v>
      </c>
      <c r="F2" s="11"/>
      <c r="G2" s="12" t="s">
        <v>31</v>
      </c>
      <c r="H2" s="10" t="s">
        <v>32</v>
      </c>
      <c r="I2" s="13" t="s">
        <v>33</v>
      </c>
      <c r="J2" s="10" t="s">
        <v>34</v>
      </c>
      <c r="K2" s="14" t="s">
        <v>35</v>
      </c>
      <c r="L2" s="15" t="s">
        <v>36</v>
      </c>
      <c r="M2" s="16">
        <v>1</v>
      </c>
      <c r="N2" s="10" t="s">
        <v>37</v>
      </c>
      <c r="O2" s="10" t="s">
        <v>38</v>
      </c>
      <c r="P2" s="10" t="s">
        <v>39</v>
      </c>
      <c r="Q2" s="10" t="s">
        <v>40</v>
      </c>
      <c r="R2" s="10" t="s">
        <v>41</v>
      </c>
      <c r="S2" s="10" t="s">
        <v>42</v>
      </c>
      <c r="T2" s="11"/>
      <c r="U2" s="11"/>
      <c r="V2" s="10" t="s">
        <v>43</v>
      </c>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row>
    <row r="3" spans="1:63" ht="12.75">
      <c r="A3" s="17"/>
      <c r="B3" s="18" t="s">
        <v>44</v>
      </c>
      <c r="C3" s="19" t="s">
        <v>45</v>
      </c>
      <c r="D3" s="8"/>
      <c r="E3" s="19" t="s">
        <v>45</v>
      </c>
      <c r="F3" s="11"/>
      <c r="G3" s="20" t="s">
        <v>46</v>
      </c>
      <c r="H3" s="10" t="s">
        <v>47</v>
      </c>
      <c r="I3" s="10" t="s">
        <v>48</v>
      </c>
      <c r="J3" s="10" t="s">
        <v>49</v>
      </c>
      <c r="K3" s="14" t="s">
        <v>35</v>
      </c>
      <c r="L3" s="10" t="s">
        <v>50</v>
      </c>
      <c r="M3" s="16">
        <v>1</v>
      </c>
      <c r="N3" s="10" t="s">
        <v>51</v>
      </c>
      <c r="O3" s="10" t="s">
        <v>52</v>
      </c>
      <c r="P3" s="10" t="s">
        <v>53</v>
      </c>
      <c r="Q3" s="10" t="s">
        <v>54</v>
      </c>
      <c r="R3" s="10" t="s">
        <v>55</v>
      </c>
      <c r="S3" s="10" t="s">
        <v>56</v>
      </c>
      <c r="T3" s="11"/>
      <c r="U3" s="11"/>
      <c r="V3" s="10" t="s">
        <v>57</v>
      </c>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row>
    <row r="4" spans="1:63" ht="12.75">
      <c r="A4" s="7" t="s">
        <v>58</v>
      </c>
      <c r="B4" s="18" t="s">
        <v>59</v>
      </c>
      <c r="C4" s="19" t="s">
        <v>60</v>
      </c>
      <c r="D4" s="8"/>
      <c r="E4" s="19" t="s">
        <v>60</v>
      </c>
      <c r="F4" s="11"/>
      <c r="G4" s="21" t="s">
        <v>61</v>
      </c>
      <c r="H4" s="10" t="s">
        <v>62</v>
      </c>
      <c r="I4" s="10" t="s">
        <v>63</v>
      </c>
      <c r="J4" s="10" t="s">
        <v>64</v>
      </c>
      <c r="K4" s="14" t="s">
        <v>35</v>
      </c>
      <c r="L4" s="10" t="s">
        <v>65</v>
      </c>
      <c r="M4" s="16">
        <v>1</v>
      </c>
      <c r="N4" s="10" t="s">
        <v>66</v>
      </c>
      <c r="O4" s="10" t="s">
        <v>67</v>
      </c>
      <c r="P4" s="11"/>
      <c r="Q4" s="10" t="s">
        <v>68</v>
      </c>
      <c r="R4" s="10" t="s">
        <v>69</v>
      </c>
      <c r="S4" s="10" t="s">
        <v>56</v>
      </c>
      <c r="T4" s="11"/>
      <c r="U4" s="11"/>
      <c r="V4" s="10" t="s">
        <v>70</v>
      </c>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row>
    <row r="5" spans="1:63" ht="12.75">
      <c r="A5" s="7" t="s">
        <v>58</v>
      </c>
      <c r="B5" s="22" t="s">
        <v>71</v>
      </c>
      <c r="C5" s="19" t="s">
        <v>72</v>
      </c>
      <c r="D5" s="8"/>
      <c r="E5" s="19" t="s">
        <v>72</v>
      </c>
      <c r="F5" s="11"/>
      <c r="G5" s="21" t="s">
        <v>61</v>
      </c>
      <c r="H5" s="10" t="s">
        <v>62</v>
      </c>
      <c r="I5" s="10" t="s">
        <v>73</v>
      </c>
      <c r="J5" s="10" t="s">
        <v>74</v>
      </c>
      <c r="K5" s="14" t="s">
        <v>35</v>
      </c>
      <c r="L5" s="10" t="s">
        <v>65</v>
      </c>
      <c r="M5" s="16">
        <v>1</v>
      </c>
      <c r="N5" s="10" t="s">
        <v>66</v>
      </c>
      <c r="O5" s="10" t="s">
        <v>67</v>
      </c>
      <c r="P5" s="11"/>
      <c r="Q5" s="10" t="s">
        <v>68</v>
      </c>
      <c r="R5" s="10" t="s">
        <v>69</v>
      </c>
      <c r="S5" s="10" t="s">
        <v>56</v>
      </c>
      <c r="T5" s="11"/>
      <c r="U5" s="11"/>
      <c r="V5" s="10" t="s">
        <v>70</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row>
    <row r="6" spans="1:63" ht="12.75">
      <c r="A6" s="7" t="s">
        <v>58</v>
      </c>
      <c r="B6" s="22" t="s">
        <v>71</v>
      </c>
      <c r="C6" s="19" t="s">
        <v>75</v>
      </c>
      <c r="D6" s="8"/>
      <c r="E6" s="19" t="s">
        <v>75</v>
      </c>
      <c r="F6" s="11"/>
      <c r="G6" s="21" t="s">
        <v>61</v>
      </c>
      <c r="H6" s="10" t="s">
        <v>62</v>
      </c>
      <c r="I6" s="10" t="s">
        <v>76</v>
      </c>
      <c r="J6" s="10" t="s">
        <v>77</v>
      </c>
      <c r="K6" s="14" t="s">
        <v>35</v>
      </c>
      <c r="L6" s="10" t="s">
        <v>65</v>
      </c>
      <c r="M6" s="16">
        <v>1</v>
      </c>
      <c r="N6" s="10" t="s">
        <v>66</v>
      </c>
      <c r="O6" s="10" t="s">
        <v>67</v>
      </c>
      <c r="P6" s="11"/>
      <c r="Q6" s="10" t="s">
        <v>68</v>
      </c>
      <c r="R6" s="10" t="s">
        <v>69</v>
      </c>
      <c r="S6" s="10" t="s">
        <v>56</v>
      </c>
      <c r="T6" s="11"/>
      <c r="U6" s="11"/>
      <c r="V6" s="10" t="s">
        <v>70</v>
      </c>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row>
    <row r="7" spans="1:63" ht="12.75">
      <c r="A7" s="7" t="s">
        <v>58</v>
      </c>
      <c r="B7" s="22" t="s">
        <v>71</v>
      </c>
      <c r="C7" s="19" t="s">
        <v>78</v>
      </c>
      <c r="D7" s="8"/>
      <c r="E7" s="19" t="s">
        <v>78</v>
      </c>
      <c r="F7" s="11"/>
      <c r="G7" s="21" t="s">
        <v>61</v>
      </c>
      <c r="H7" s="10" t="s">
        <v>62</v>
      </c>
      <c r="I7" s="10" t="s">
        <v>79</v>
      </c>
      <c r="J7" s="10" t="s">
        <v>80</v>
      </c>
      <c r="K7" s="14" t="s">
        <v>35</v>
      </c>
      <c r="L7" s="10" t="s">
        <v>65</v>
      </c>
      <c r="M7" s="16">
        <v>1</v>
      </c>
      <c r="N7" s="10" t="s">
        <v>66</v>
      </c>
      <c r="O7" s="10" t="s">
        <v>67</v>
      </c>
      <c r="P7" s="11"/>
      <c r="Q7" s="10" t="s">
        <v>68</v>
      </c>
      <c r="R7" s="10" t="s">
        <v>69</v>
      </c>
      <c r="S7" s="10" t="s">
        <v>56</v>
      </c>
      <c r="T7" s="11"/>
      <c r="U7" s="11"/>
      <c r="V7" s="10" t="s">
        <v>70</v>
      </c>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row>
    <row r="8" spans="1:63" ht="12.75">
      <c r="A8" s="7" t="s">
        <v>58</v>
      </c>
      <c r="B8" s="22" t="s">
        <v>71</v>
      </c>
      <c r="C8" s="19" t="s">
        <v>81</v>
      </c>
      <c r="D8" s="8"/>
      <c r="E8" s="19" t="s">
        <v>81</v>
      </c>
      <c r="F8" s="11"/>
      <c r="G8" s="21" t="s">
        <v>61</v>
      </c>
      <c r="H8" s="10" t="s">
        <v>62</v>
      </c>
      <c r="I8" s="10" t="s">
        <v>82</v>
      </c>
      <c r="J8" s="10" t="s">
        <v>83</v>
      </c>
      <c r="K8" s="14" t="s">
        <v>35</v>
      </c>
      <c r="L8" s="10" t="s">
        <v>65</v>
      </c>
      <c r="M8" s="16">
        <v>1</v>
      </c>
      <c r="N8" s="10" t="s">
        <v>66</v>
      </c>
      <c r="O8" s="10" t="s">
        <v>67</v>
      </c>
      <c r="P8" s="11"/>
      <c r="Q8" s="10" t="s">
        <v>68</v>
      </c>
      <c r="R8" s="10" t="s">
        <v>69</v>
      </c>
      <c r="S8" s="10" t="s">
        <v>56</v>
      </c>
      <c r="T8" s="11"/>
      <c r="U8" s="11"/>
      <c r="V8" s="10" t="s">
        <v>70</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row>
    <row r="9" spans="1:63" ht="12.75">
      <c r="A9" s="7" t="s">
        <v>58</v>
      </c>
      <c r="B9" s="22" t="s">
        <v>71</v>
      </c>
      <c r="C9" s="19" t="s">
        <v>84</v>
      </c>
      <c r="D9" s="8"/>
      <c r="E9" s="19" t="s">
        <v>84</v>
      </c>
      <c r="F9" s="11"/>
      <c r="G9" s="21" t="s">
        <v>61</v>
      </c>
      <c r="H9" s="10" t="s">
        <v>62</v>
      </c>
      <c r="I9" s="10" t="s">
        <v>85</v>
      </c>
      <c r="J9" s="10" t="s">
        <v>86</v>
      </c>
      <c r="K9" s="14" t="s">
        <v>35</v>
      </c>
      <c r="L9" s="10" t="s">
        <v>65</v>
      </c>
      <c r="M9" s="16">
        <v>1</v>
      </c>
      <c r="N9" s="10" t="s">
        <v>66</v>
      </c>
      <c r="O9" s="10" t="s">
        <v>67</v>
      </c>
      <c r="P9" s="11"/>
      <c r="Q9" s="10" t="s">
        <v>68</v>
      </c>
      <c r="R9" s="10" t="s">
        <v>69</v>
      </c>
      <c r="S9" s="10" t="s">
        <v>56</v>
      </c>
      <c r="T9" s="11"/>
      <c r="U9" s="11"/>
      <c r="V9" s="10" t="s">
        <v>70</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row>
    <row r="10" spans="1:63" ht="12.75">
      <c r="A10" s="7" t="s">
        <v>58</v>
      </c>
      <c r="B10" s="22" t="s">
        <v>71</v>
      </c>
      <c r="C10" s="19" t="s">
        <v>87</v>
      </c>
      <c r="D10" s="8"/>
      <c r="E10" s="19" t="s">
        <v>87</v>
      </c>
      <c r="F10" s="11"/>
      <c r="G10" s="21" t="s">
        <v>61</v>
      </c>
      <c r="H10" s="10" t="s">
        <v>62</v>
      </c>
      <c r="I10" s="10" t="s">
        <v>88</v>
      </c>
      <c r="J10" s="10" t="s">
        <v>86</v>
      </c>
      <c r="K10" s="14" t="s">
        <v>35</v>
      </c>
      <c r="L10" s="10" t="s">
        <v>65</v>
      </c>
      <c r="M10" s="16">
        <v>1</v>
      </c>
      <c r="N10" s="10" t="s">
        <v>66</v>
      </c>
      <c r="O10" s="10" t="s">
        <v>67</v>
      </c>
      <c r="P10" s="11"/>
      <c r="Q10" s="10" t="s">
        <v>68</v>
      </c>
      <c r="R10" s="10" t="s">
        <v>69</v>
      </c>
      <c r="S10" s="10" t="s">
        <v>56</v>
      </c>
      <c r="T10" s="11"/>
      <c r="U10" s="11"/>
      <c r="V10" s="10" t="s">
        <v>70</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row>
    <row r="11" spans="1:63" ht="12.75">
      <c r="A11" s="7" t="s">
        <v>58</v>
      </c>
      <c r="B11" s="22" t="s">
        <v>71</v>
      </c>
      <c r="C11" s="19" t="s">
        <v>89</v>
      </c>
      <c r="D11" s="8"/>
      <c r="E11" s="19" t="s">
        <v>89</v>
      </c>
      <c r="F11" s="11"/>
      <c r="G11" s="21" t="s">
        <v>61</v>
      </c>
      <c r="H11" s="10" t="s">
        <v>62</v>
      </c>
      <c r="I11" s="10" t="s">
        <v>90</v>
      </c>
      <c r="J11" s="10" t="s">
        <v>86</v>
      </c>
      <c r="K11" s="14" t="s">
        <v>35</v>
      </c>
      <c r="L11" s="10" t="s">
        <v>65</v>
      </c>
      <c r="M11" s="16">
        <v>1</v>
      </c>
      <c r="N11" s="10" t="s">
        <v>66</v>
      </c>
      <c r="O11" s="10" t="s">
        <v>67</v>
      </c>
      <c r="P11" s="11"/>
      <c r="Q11" s="10" t="s">
        <v>68</v>
      </c>
      <c r="R11" s="10" t="s">
        <v>69</v>
      </c>
      <c r="S11" s="10" t="s">
        <v>56</v>
      </c>
      <c r="T11" s="11"/>
      <c r="U11" s="11"/>
      <c r="V11" s="10" t="s">
        <v>70</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row>
    <row r="12" spans="1:63" ht="12.75">
      <c r="A12" s="7" t="s">
        <v>91</v>
      </c>
      <c r="B12" s="22" t="s">
        <v>92</v>
      </c>
      <c r="C12" s="23" t="s">
        <v>93</v>
      </c>
      <c r="D12" s="8"/>
      <c r="E12" s="23" t="s">
        <v>93</v>
      </c>
      <c r="F12" s="11"/>
      <c r="G12" s="12" t="s">
        <v>31</v>
      </c>
      <c r="H12" s="10" t="s">
        <v>94</v>
      </c>
      <c r="I12" s="10" t="s">
        <v>95</v>
      </c>
      <c r="J12" s="10" t="s">
        <v>49</v>
      </c>
      <c r="K12" s="14" t="s">
        <v>35</v>
      </c>
      <c r="L12" s="10" t="s">
        <v>96</v>
      </c>
      <c r="M12" s="16">
        <v>1</v>
      </c>
      <c r="N12" s="10" t="s">
        <v>97</v>
      </c>
      <c r="O12" s="10" t="s">
        <v>98</v>
      </c>
      <c r="P12" s="11"/>
      <c r="Q12" s="10" t="s">
        <v>99</v>
      </c>
      <c r="R12" s="10" t="s">
        <v>100</v>
      </c>
      <c r="S12" s="10" t="s">
        <v>56</v>
      </c>
      <c r="T12" s="11"/>
      <c r="U12" s="11"/>
      <c r="V12" s="16">
        <v>70501</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row>
    <row r="13" spans="1:63" ht="12.75">
      <c r="A13" s="7" t="s">
        <v>91</v>
      </c>
      <c r="B13" s="22" t="s">
        <v>92</v>
      </c>
      <c r="C13" s="23" t="s">
        <v>93</v>
      </c>
      <c r="D13" s="8"/>
      <c r="E13" s="23" t="s">
        <v>93</v>
      </c>
      <c r="F13" s="11"/>
      <c r="G13" s="12" t="s">
        <v>31</v>
      </c>
      <c r="H13" s="10" t="s">
        <v>94</v>
      </c>
      <c r="I13" s="10" t="s">
        <v>101</v>
      </c>
      <c r="J13" s="10" t="s">
        <v>102</v>
      </c>
      <c r="K13" s="14" t="s">
        <v>35</v>
      </c>
      <c r="L13" s="10" t="s">
        <v>96</v>
      </c>
      <c r="M13" s="16">
        <v>1</v>
      </c>
      <c r="N13" s="10" t="s">
        <v>97</v>
      </c>
      <c r="O13" s="10" t="s">
        <v>98</v>
      </c>
      <c r="P13" s="11"/>
      <c r="Q13" s="10" t="s">
        <v>99</v>
      </c>
      <c r="R13" s="10" t="s">
        <v>100</v>
      </c>
      <c r="S13" s="10" t="s">
        <v>56</v>
      </c>
      <c r="T13" s="11"/>
      <c r="U13" s="11"/>
      <c r="V13" s="16">
        <v>70501</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row>
    <row r="14" spans="1:63" ht="12.75">
      <c r="A14" s="7" t="s">
        <v>91</v>
      </c>
      <c r="B14" s="22" t="s">
        <v>92</v>
      </c>
      <c r="C14" s="24" t="s">
        <v>93</v>
      </c>
      <c r="D14" s="8"/>
      <c r="E14" s="24" t="s">
        <v>93</v>
      </c>
      <c r="F14" s="11"/>
      <c r="G14" s="12" t="s">
        <v>31</v>
      </c>
      <c r="H14" s="10" t="s">
        <v>94</v>
      </c>
      <c r="I14" s="10" t="s">
        <v>103</v>
      </c>
      <c r="J14" s="10" t="s">
        <v>34</v>
      </c>
      <c r="K14" s="14" t="s">
        <v>35</v>
      </c>
      <c r="L14" s="10" t="s">
        <v>96</v>
      </c>
      <c r="M14" s="16">
        <v>1</v>
      </c>
      <c r="N14" s="10" t="s">
        <v>97</v>
      </c>
      <c r="O14" s="10" t="s">
        <v>98</v>
      </c>
      <c r="P14" s="11"/>
      <c r="Q14" s="10" t="s">
        <v>99</v>
      </c>
      <c r="R14" s="10" t="s">
        <v>100</v>
      </c>
      <c r="S14" s="10" t="s">
        <v>56</v>
      </c>
      <c r="T14" s="11"/>
      <c r="U14" s="11"/>
      <c r="V14" s="16">
        <v>70501</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row>
    <row r="15" spans="1:63" ht="12.75">
      <c r="A15" s="7" t="s">
        <v>91</v>
      </c>
      <c r="B15" s="22" t="s">
        <v>92</v>
      </c>
      <c r="C15" s="24" t="s">
        <v>93</v>
      </c>
      <c r="D15" s="8"/>
      <c r="E15" s="24" t="s">
        <v>93</v>
      </c>
      <c r="F15" s="11"/>
      <c r="G15" s="12" t="s">
        <v>31</v>
      </c>
      <c r="H15" s="10" t="s">
        <v>94</v>
      </c>
      <c r="I15" s="10" t="s">
        <v>104</v>
      </c>
      <c r="J15" s="10" t="s">
        <v>105</v>
      </c>
      <c r="K15" s="14" t="s">
        <v>35</v>
      </c>
      <c r="L15" s="10" t="s">
        <v>96</v>
      </c>
      <c r="M15" s="16">
        <v>1</v>
      </c>
      <c r="N15" s="10" t="s">
        <v>97</v>
      </c>
      <c r="O15" s="10" t="s">
        <v>98</v>
      </c>
      <c r="P15" s="11"/>
      <c r="Q15" s="10" t="s">
        <v>99</v>
      </c>
      <c r="R15" s="10" t="s">
        <v>100</v>
      </c>
      <c r="S15" s="10" t="s">
        <v>56</v>
      </c>
      <c r="T15" s="11"/>
      <c r="U15" s="11"/>
      <c r="V15" s="16">
        <v>70501</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row>
    <row r="16" spans="1:63" ht="12.75">
      <c r="A16" s="11"/>
      <c r="B16" s="18" t="s">
        <v>106</v>
      </c>
      <c r="C16" s="25" t="s">
        <v>107</v>
      </c>
      <c r="D16" s="22" t="s">
        <v>108</v>
      </c>
      <c r="E16" s="25" t="s">
        <v>107</v>
      </c>
      <c r="F16" s="11"/>
      <c r="G16" s="26" t="s">
        <v>109</v>
      </c>
      <c r="H16" s="10" t="s">
        <v>110</v>
      </c>
      <c r="I16" s="10" t="s">
        <v>111</v>
      </c>
      <c r="J16" s="10" t="s">
        <v>102</v>
      </c>
      <c r="K16" s="14" t="s">
        <v>35</v>
      </c>
      <c r="L16" s="10" t="s">
        <v>112</v>
      </c>
      <c r="M16" s="16">
        <v>1</v>
      </c>
      <c r="N16" s="10" t="s">
        <v>113</v>
      </c>
      <c r="O16" s="10" t="s">
        <v>114</v>
      </c>
      <c r="P16" s="10" t="s">
        <v>115</v>
      </c>
      <c r="Q16" s="10" t="s">
        <v>116</v>
      </c>
      <c r="R16" s="10" t="s">
        <v>117</v>
      </c>
      <c r="S16" s="10" t="s">
        <v>56</v>
      </c>
      <c r="T16" s="11"/>
      <c r="U16" s="11"/>
      <c r="V16" s="16">
        <v>62918</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row>
    <row r="17" spans="1:63" ht="12.75">
      <c r="A17" s="11"/>
      <c r="B17" s="27" t="s">
        <v>118</v>
      </c>
      <c r="C17" s="25" t="s">
        <v>119</v>
      </c>
      <c r="D17" s="7" t="s">
        <v>120</v>
      </c>
      <c r="E17" s="25" t="s">
        <v>119</v>
      </c>
      <c r="F17" s="11"/>
      <c r="G17" s="21" t="s">
        <v>61</v>
      </c>
      <c r="H17" s="10" t="s">
        <v>121</v>
      </c>
      <c r="I17" s="10" t="s">
        <v>122</v>
      </c>
      <c r="J17" s="10" t="s">
        <v>77</v>
      </c>
      <c r="K17" s="14" t="s">
        <v>35</v>
      </c>
      <c r="L17" s="28" t="s">
        <v>123</v>
      </c>
      <c r="M17" s="16">
        <v>1</v>
      </c>
      <c r="N17" s="10" t="s">
        <v>124</v>
      </c>
      <c r="O17" s="10" t="s">
        <v>125</v>
      </c>
      <c r="P17" s="11"/>
      <c r="Q17" s="10" t="s">
        <v>126</v>
      </c>
      <c r="R17" s="10" t="s">
        <v>127</v>
      </c>
      <c r="S17" s="10" t="s">
        <v>56</v>
      </c>
      <c r="T17" s="11"/>
      <c r="U17" s="11"/>
      <c r="V17" s="16">
        <v>19015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row>
    <row r="18" spans="1:63" ht="12.75">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row>
    <row r="19" spans="1:63" ht="12.75">
      <c r="A19" s="7" t="s">
        <v>128</v>
      </c>
      <c r="B19" s="11"/>
      <c r="C19" s="25" t="s">
        <v>129</v>
      </c>
      <c r="D19" s="11"/>
      <c r="E19" s="25" t="s">
        <v>129</v>
      </c>
      <c r="F19" s="11"/>
      <c r="G19" s="12" t="s">
        <v>31</v>
      </c>
      <c r="H19" s="10" t="s">
        <v>130</v>
      </c>
      <c r="I19" s="13" t="s">
        <v>131</v>
      </c>
      <c r="J19" s="10" t="s">
        <v>132</v>
      </c>
      <c r="K19" s="14" t="s">
        <v>35</v>
      </c>
      <c r="L19" s="10" t="s">
        <v>133</v>
      </c>
      <c r="M19" s="16">
        <v>1</v>
      </c>
      <c r="N19" s="10" t="s">
        <v>134</v>
      </c>
      <c r="O19" s="25" t="s">
        <v>135</v>
      </c>
      <c r="P19" s="11"/>
      <c r="Q19" s="10" t="s">
        <v>136</v>
      </c>
      <c r="R19" s="10" t="s">
        <v>137</v>
      </c>
      <c r="S19" s="10" t="s">
        <v>56</v>
      </c>
      <c r="T19" s="11"/>
      <c r="U19" s="11"/>
      <c r="V19" s="16">
        <v>39638</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row>
    <row r="20" spans="1:63" ht="12.75">
      <c r="A20" s="7" t="s">
        <v>138</v>
      </c>
      <c r="B20" s="11"/>
      <c r="C20" s="25" t="s">
        <v>139</v>
      </c>
      <c r="D20" s="11"/>
      <c r="E20" s="25" t="s">
        <v>139</v>
      </c>
      <c r="F20" s="11"/>
      <c r="G20" s="21" t="s">
        <v>61</v>
      </c>
      <c r="H20" s="10" t="s">
        <v>62</v>
      </c>
      <c r="I20" s="10" t="s">
        <v>140</v>
      </c>
      <c r="J20" s="10" t="s">
        <v>77</v>
      </c>
      <c r="K20" s="14" t="s">
        <v>35</v>
      </c>
      <c r="L20" s="10" t="s">
        <v>141</v>
      </c>
      <c r="M20" s="16">
        <v>1</v>
      </c>
      <c r="N20" s="10" t="s">
        <v>142</v>
      </c>
      <c r="O20" s="25" t="s">
        <v>143</v>
      </c>
      <c r="P20" s="11"/>
      <c r="Q20" s="10" t="s">
        <v>144</v>
      </c>
      <c r="R20" s="10" t="s">
        <v>145</v>
      </c>
      <c r="S20" s="10" t="s">
        <v>56</v>
      </c>
      <c r="T20" s="11"/>
      <c r="U20" s="11"/>
      <c r="V20" s="16">
        <v>36532</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row>
    <row r="21" spans="1:63" ht="12.75">
      <c r="A21" s="7" t="s">
        <v>138</v>
      </c>
      <c r="B21" s="11"/>
      <c r="C21" s="25" t="s">
        <v>146</v>
      </c>
      <c r="D21" s="11"/>
      <c r="E21" s="25" t="s">
        <v>146</v>
      </c>
      <c r="F21" s="11"/>
      <c r="G21" s="21" t="s">
        <v>61</v>
      </c>
      <c r="H21" s="10" t="s">
        <v>62</v>
      </c>
      <c r="I21" s="10" t="s">
        <v>147</v>
      </c>
      <c r="J21" s="10" t="s">
        <v>86</v>
      </c>
      <c r="K21" s="14" t="s">
        <v>35</v>
      </c>
      <c r="L21" s="10" t="s">
        <v>141</v>
      </c>
      <c r="M21" s="16">
        <v>1</v>
      </c>
      <c r="N21" s="10" t="s">
        <v>142</v>
      </c>
      <c r="O21" s="25" t="s">
        <v>143</v>
      </c>
      <c r="P21" s="11"/>
      <c r="Q21" s="10" t="s">
        <v>144</v>
      </c>
      <c r="R21" s="10" t="s">
        <v>145</v>
      </c>
      <c r="S21" s="10" t="s">
        <v>56</v>
      </c>
      <c r="T21" s="11"/>
      <c r="U21" s="11"/>
      <c r="V21" s="16">
        <v>36532</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row>
    <row r="22" spans="1:63" ht="12.75">
      <c r="A22" s="7" t="s">
        <v>138</v>
      </c>
      <c r="B22" s="11"/>
      <c r="C22" s="25" t="s">
        <v>148</v>
      </c>
      <c r="D22" s="11"/>
      <c r="E22" s="25" t="s">
        <v>148</v>
      </c>
      <c r="F22" s="11"/>
      <c r="G22" s="21" t="s">
        <v>61</v>
      </c>
      <c r="H22" s="10" t="s">
        <v>62</v>
      </c>
      <c r="I22" s="10" t="s">
        <v>149</v>
      </c>
      <c r="J22" s="10" t="s">
        <v>86</v>
      </c>
      <c r="K22" s="14" t="s">
        <v>35</v>
      </c>
      <c r="L22" s="10" t="s">
        <v>141</v>
      </c>
      <c r="M22" s="16">
        <v>1</v>
      </c>
      <c r="N22" s="10" t="s">
        <v>142</v>
      </c>
      <c r="O22" s="25" t="s">
        <v>143</v>
      </c>
      <c r="P22" s="11"/>
      <c r="Q22" s="10" t="s">
        <v>144</v>
      </c>
      <c r="R22" s="10" t="s">
        <v>145</v>
      </c>
      <c r="S22" s="10" t="s">
        <v>56</v>
      </c>
      <c r="T22" s="11"/>
      <c r="U22" s="11"/>
      <c r="V22" s="16">
        <v>36532</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row>
    <row r="23" spans="1:63" ht="12.75">
      <c r="A23" s="11"/>
      <c r="B23" s="10" t="s">
        <v>150</v>
      </c>
      <c r="C23" s="25" t="s">
        <v>151</v>
      </c>
      <c r="D23" s="11"/>
      <c r="E23" s="25" t="s">
        <v>151</v>
      </c>
      <c r="F23" s="11"/>
      <c r="G23" s="20" t="s">
        <v>46</v>
      </c>
      <c r="H23" s="10" t="s">
        <v>47</v>
      </c>
      <c r="I23" s="10" t="s">
        <v>152</v>
      </c>
      <c r="J23" s="10" t="s">
        <v>34</v>
      </c>
      <c r="K23" s="14" t="s">
        <v>35</v>
      </c>
      <c r="L23" s="10" t="s">
        <v>153</v>
      </c>
      <c r="M23" s="16">
        <v>1</v>
      </c>
      <c r="N23" s="10" t="s">
        <v>154</v>
      </c>
      <c r="O23" s="10" t="s">
        <v>155</v>
      </c>
      <c r="P23" s="10" t="s">
        <v>156</v>
      </c>
      <c r="Q23" s="10" t="s">
        <v>157</v>
      </c>
      <c r="R23" s="10" t="s">
        <v>158</v>
      </c>
      <c r="S23" s="10" t="s">
        <v>56</v>
      </c>
      <c r="T23" s="11"/>
      <c r="U23" s="11"/>
      <c r="V23" s="16">
        <v>92549</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row>
    <row r="24" spans="1:63" ht="12.75">
      <c r="A24" s="7" t="s">
        <v>159</v>
      </c>
      <c r="B24" s="11"/>
      <c r="C24" s="25" t="s">
        <v>160</v>
      </c>
      <c r="D24" s="11"/>
      <c r="E24" s="25" t="s">
        <v>160</v>
      </c>
      <c r="F24" s="11"/>
      <c r="G24" s="30" t="s">
        <v>161</v>
      </c>
      <c r="H24" s="10" t="s">
        <v>162</v>
      </c>
      <c r="I24" s="10" t="s">
        <v>163</v>
      </c>
      <c r="J24" s="10" t="s">
        <v>102</v>
      </c>
      <c r="K24" s="14" t="s">
        <v>35</v>
      </c>
      <c r="L24" s="10" t="s">
        <v>164</v>
      </c>
      <c r="M24" s="16">
        <v>1</v>
      </c>
      <c r="N24" s="10" t="s">
        <v>165</v>
      </c>
      <c r="O24" s="10" t="s">
        <v>166</v>
      </c>
      <c r="P24" s="11"/>
      <c r="Q24" s="10" t="s">
        <v>167</v>
      </c>
      <c r="R24" s="10" t="s">
        <v>168</v>
      </c>
      <c r="S24" s="10" t="s">
        <v>56</v>
      </c>
      <c r="T24" s="11"/>
      <c r="U24" s="11"/>
      <c r="V24" s="16">
        <v>46385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row>
    <row r="25" spans="1:63" ht="12.75">
      <c r="A25" s="7" t="s">
        <v>159</v>
      </c>
      <c r="B25" s="11"/>
      <c r="C25" s="25" t="s">
        <v>169</v>
      </c>
      <c r="D25" s="11"/>
      <c r="E25" s="25" t="s">
        <v>169</v>
      </c>
      <c r="F25" s="11"/>
      <c r="G25" s="30" t="s">
        <v>161</v>
      </c>
      <c r="H25" s="10" t="s">
        <v>162</v>
      </c>
      <c r="I25" s="10" t="s">
        <v>170</v>
      </c>
      <c r="J25" s="10" t="s">
        <v>132</v>
      </c>
      <c r="K25" s="14" t="s">
        <v>35</v>
      </c>
      <c r="L25" s="10" t="s">
        <v>164</v>
      </c>
      <c r="M25" s="16">
        <v>1</v>
      </c>
      <c r="N25" s="10" t="s">
        <v>165</v>
      </c>
      <c r="O25" s="10" t="s">
        <v>166</v>
      </c>
      <c r="P25" s="11"/>
      <c r="Q25" s="10" t="s">
        <v>167</v>
      </c>
      <c r="R25" s="10" t="s">
        <v>168</v>
      </c>
      <c r="S25" s="10" t="s">
        <v>56</v>
      </c>
      <c r="T25" s="11"/>
      <c r="U25" s="11"/>
      <c r="V25" s="16">
        <v>46385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row>
    <row r="26" spans="1:63" ht="12.75">
      <c r="A26" s="7" t="s">
        <v>159</v>
      </c>
      <c r="B26" s="11"/>
      <c r="C26" s="25" t="s">
        <v>171</v>
      </c>
      <c r="D26" s="11"/>
      <c r="E26" s="25" t="s">
        <v>171</v>
      </c>
      <c r="F26" s="11"/>
      <c r="G26" s="30" t="s">
        <v>161</v>
      </c>
      <c r="H26" s="10" t="s">
        <v>162</v>
      </c>
      <c r="I26" s="10" t="s">
        <v>172</v>
      </c>
      <c r="J26" s="10" t="s">
        <v>105</v>
      </c>
      <c r="K26" s="14" t="s">
        <v>35</v>
      </c>
      <c r="L26" s="10" t="s">
        <v>164</v>
      </c>
      <c r="M26" s="16">
        <v>1</v>
      </c>
      <c r="N26" s="10" t="s">
        <v>165</v>
      </c>
      <c r="O26" s="10" t="s">
        <v>166</v>
      </c>
      <c r="P26" s="11"/>
      <c r="Q26" s="10" t="s">
        <v>167</v>
      </c>
      <c r="R26" s="10" t="s">
        <v>168</v>
      </c>
      <c r="S26" s="10" t="s">
        <v>56</v>
      </c>
      <c r="T26" s="11"/>
      <c r="U26" s="11"/>
      <c r="V26" s="16">
        <v>46385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row>
    <row r="27" spans="1:63" ht="12.75">
      <c r="A27" s="7" t="s">
        <v>159</v>
      </c>
      <c r="B27" s="11"/>
      <c r="C27" s="25" t="s">
        <v>173</v>
      </c>
      <c r="D27" s="11"/>
      <c r="E27" s="25" t="s">
        <v>173</v>
      </c>
      <c r="F27" s="11"/>
      <c r="G27" s="30" t="s">
        <v>161</v>
      </c>
      <c r="H27" s="10" t="s">
        <v>162</v>
      </c>
      <c r="I27" s="10" t="s">
        <v>174</v>
      </c>
      <c r="J27" s="10" t="s">
        <v>175</v>
      </c>
      <c r="K27" s="14" t="s">
        <v>35</v>
      </c>
      <c r="L27" s="10" t="s">
        <v>164</v>
      </c>
      <c r="M27" s="16">
        <v>1</v>
      </c>
      <c r="N27" s="10" t="s">
        <v>165</v>
      </c>
      <c r="O27" s="10" t="s">
        <v>166</v>
      </c>
      <c r="P27" s="11"/>
      <c r="Q27" s="10" t="s">
        <v>167</v>
      </c>
      <c r="R27" s="10" t="s">
        <v>168</v>
      </c>
      <c r="S27" s="10" t="s">
        <v>56</v>
      </c>
      <c r="T27" s="11"/>
      <c r="U27" s="11"/>
      <c r="V27" s="16">
        <v>46385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row>
    <row r="28" spans="1:63" ht="12.75">
      <c r="A28" s="7" t="s">
        <v>176</v>
      </c>
      <c r="B28" s="11"/>
      <c r="C28" s="25" t="s">
        <v>177</v>
      </c>
      <c r="D28" s="10" t="s">
        <v>178</v>
      </c>
      <c r="E28" s="25" t="s">
        <v>177</v>
      </c>
      <c r="F28" s="11"/>
      <c r="G28" s="12" t="s">
        <v>31</v>
      </c>
      <c r="H28" s="10" t="s">
        <v>179</v>
      </c>
      <c r="I28" s="31" t="s">
        <v>180</v>
      </c>
      <c r="J28" s="10" t="s">
        <v>105</v>
      </c>
      <c r="K28" s="14" t="s">
        <v>35</v>
      </c>
      <c r="L28" s="32" t="s">
        <v>181</v>
      </c>
      <c r="M28" s="16">
        <v>1</v>
      </c>
      <c r="N28" s="10" t="s">
        <v>182</v>
      </c>
      <c r="O28" s="25" t="s">
        <v>183</v>
      </c>
      <c r="P28" s="11"/>
      <c r="Q28" s="10" t="s">
        <v>184</v>
      </c>
      <c r="R28" s="10" t="s">
        <v>127</v>
      </c>
      <c r="S28" s="10" t="s">
        <v>56</v>
      </c>
      <c r="T28" s="11"/>
      <c r="U28" s="11"/>
      <c r="V28" s="10" t="s">
        <v>185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row>
    <row r="29" spans="1:63" ht="12.75">
      <c r="A29" s="7" t="s">
        <v>186</v>
      </c>
      <c r="B29" s="11"/>
      <c r="C29" s="25" t="s">
        <v>187</v>
      </c>
      <c r="D29" s="10" t="s">
        <v>178</v>
      </c>
      <c r="E29" s="25" t="s">
        <v>187</v>
      </c>
      <c r="F29" s="11"/>
      <c r="G29" s="12" t="s">
        <v>31</v>
      </c>
      <c r="H29" s="10" t="s">
        <v>188</v>
      </c>
      <c r="I29" s="33" t="s">
        <v>189</v>
      </c>
      <c r="J29" s="10" t="s">
        <v>105</v>
      </c>
      <c r="K29" s="14" t="s">
        <v>35</v>
      </c>
      <c r="L29" s="32" t="s">
        <v>181</v>
      </c>
      <c r="M29" s="16">
        <v>1</v>
      </c>
      <c r="N29" s="10" t="s">
        <v>182</v>
      </c>
      <c r="O29" s="25" t="s">
        <v>183</v>
      </c>
      <c r="P29" s="11"/>
      <c r="Q29" s="10" t="s">
        <v>184</v>
      </c>
      <c r="R29" s="10" t="s">
        <v>127</v>
      </c>
      <c r="S29" s="10" t="s">
        <v>56</v>
      </c>
      <c r="T29" s="11"/>
      <c r="U29" s="11"/>
      <c r="V29" s="10" t="s">
        <v>185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row>
    <row r="30" spans="1:63" ht="12.75">
      <c r="A30" s="7" t="s">
        <v>190</v>
      </c>
      <c r="B30" s="11"/>
      <c r="C30" s="25" t="s">
        <v>191</v>
      </c>
      <c r="D30" s="10" t="s">
        <v>178</v>
      </c>
      <c r="E30" s="25" t="s">
        <v>191</v>
      </c>
      <c r="F30" s="11"/>
      <c r="G30" s="12" t="s">
        <v>109</v>
      </c>
      <c r="H30" s="10" t="s">
        <v>192</v>
      </c>
      <c r="I30" s="13" t="s">
        <v>193</v>
      </c>
      <c r="J30" s="10" t="s">
        <v>105</v>
      </c>
      <c r="K30" s="14" t="s">
        <v>35</v>
      </c>
      <c r="L30" s="32" t="s">
        <v>181</v>
      </c>
      <c r="M30" s="16">
        <v>1</v>
      </c>
      <c r="N30" s="10" t="s">
        <v>182</v>
      </c>
      <c r="O30" s="25" t="s">
        <v>183</v>
      </c>
      <c r="P30" s="11"/>
      <c r="Q30" s="10" t="s">
        <v>184</v>
      </c>
      <c r="R30" s="10" t="s">
        <v>127</v>
      </c>
      <c r="S30" s="10" t="s">
        <v>56</v>
      </c>
      <c r="T30" s="11"/>
      <c r="U30" s="11"/>
      <c r="V30" s="10" t="s">
        <v>185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row>
    <row r="31" spans="1:63" ht="12.75">
      <c r="A31" s="7" t="s">
        <v>194</v>
      </c>
      <c r="B31" s="11"/>
      <c r="C31" s="25" t="s">
        <v>195</v>
      </c>
      <c r="D31" s="10" t="s">
        <v>178</v>
      </c>
      <c r="E31" s="25" t="s">
        <v>195</v>
      </c>
      <c r="F31" s="11"/>
      <c r="G31" s="12" t="s">
        <v>109</v>
      </c>
      <c r="H31" s="10" t="s">
        <v>196</v>
      </c>
      <c r="I31" s="13" t="s">
        <v>197</v>
      </c>
      <c r="J31" s="10" t="s">
        <v>105</v>
      </c>
      <c r="K31" s="14" t="s">
        <v>35</v>
      </c>
      <c r="L31" s="32" t="s">
        <v>181</v>
      </c>
      <c r="M31" s="16">
        <v>1</v>
      </c>
      <c r="N31" s="10" t="s">
        <v>182</v>
      </c>
      <c r="O31" s="25" t="s">
        <v>183</v>
      </c>
      <c r="P31" s="11"/>
      <c r="Q31" s="10" t="s">
        <v>184</v>
      </c>
      <c r="R31" s="10" t="s">
        <v>127</v>
      </c>
      <c r="S31" s="10" t="s">
        <v>56</v>
      </c>
      <c r="T31" s="11"/>
      <c r="U31" s="11"/>
      <c r="V31" s="10" t="s">
        <v>185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row>
    <row r="32" spans="1:63" ht="12.75">
      <c r="A32" s="7" t="s">
        <v>198</v>
      </c>
      <c r="B32" s="11"/>
      <c r="C32" s="25" t="s">
        <v>199</v>
      </c>
      <c r="D32" s="10" t="s">
        <v>178</v>
      </c>
      <c r="E32" s="25" t="s">
        <v>199</v>
      </c>
      <c r="F32" s="11"/>
      <c r="G32" s="20" t="s">
        <v>46</v>
      </c>
      <c r="H32" s="10" t="s">
        <v>200</v>
      </c>
      <c r="I32" s="31" t="s">
        <v>201</v>
      </c>
      <c r="J32" s="10" t="s">
        <v>105</v>
      </c>
      <c r="K32" s="14" t="s">
        <v>35</v>
      </c>
      <c r="L32" s="32" t="s">
        <v>181</v>
      </c>
      <c r="M32" s="16">
        <v>1</v>
      </c>
      <c r="N32" s="10" t="s">
        <v>182</v>
      </c>
      <c r="O32" s="25" t="s">
        <v>183</v>
      </c>
      <c r="P32" s="11"/>
      <c r="Q32" s="10" t="s">
        <v>184</v>
      </c>
      <c r="R32" s="10" t="s">
        <v>127</v>
      </c>
      <c r="S32" s="10" t="s">
        <v>56</v>
      </c>
      <c r="T32" s="11"/>
      <c r="U32" s="11"/>
      <c r="V32" s="10" t="s">
        <v>185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row>
    <row r="33" spans="1:63" ht="12.75">
      <c r="A33" s="7" t="s">
        <v>202</v>
      </c>
      <c r="B33" s="11"/>
      <c r="C33" s="25" t="s">
        <v>203</v>
      </c>
      <c r="D33" s="11"/>
      <c r="E33" s="25" t="s">
        <v>203</v>
      </c>
      <c r="F33" s="11"/>
      <c r="G33" s="12" t="s">
        <v>109</v>
      </c>
      <c r="H33" s="10" t="s">
        <v>204</v>
      </c>
      <c r="I33" s="13" t="s">
        <v>205</v>
      </c>
      <c r="J33" s="10" t="s">
        <v>132</v>
      </c>
      <c r="K33" s="14" t="s">
        <v>35</v>
      </c>
      <c r="L33" s="10" t="s">
        <v>206</v>
      </c>
      <c r="M33" s="16">
        <v>1</v>
      </c>
      <c r="N33" s="10" t="s">
        <v>207</v>
      </c>
      <c r="O33" s="25" t="s">
        <v>208</v>
      </c>
      <c r="P33" s="11"/>
      <c r="Q33" s="10" t="s">
        <v>209</v>
      </c>
      <c r="R33" s="10" t="s">
        <v>210</v>
      </c>
      <c r="S33" s="10" t="s">
        <v>56</v>
      </c>
      <c r="T33" s="11"/>
      <c r="U33" s="11"/>
      <c r="V33" s="16">
        <v>50317</v>
      </c>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row>
    <row r="34" spans="1:63" ht="12.75">
      <c r="A34" s="7" t="s">
        <v>202</v>
      </c>
      <c r="B34" s="11"/>
      <c r="C34" s="25" t="s">
        <v>211</v>
      </c>
      <c r="D34" s="11"/>
      <c r="E34" s="25" t="s">
        <v>211</v>
      </c>
      <c r="F34" s="11"/>
      <c r="G34" s="12" t="s">
        <v>109</v>
      </c>
      <c r="H34" s="10" t="s">
        <v>204</v>
      </c>
      <c r="I34" s="13" t="s">
        <v>212</v>
      </c>
      <c r="J34" s="10" t="s">
        <v>132</v>
      </c>
      <c r="K34" s="14" t="s">
        <v>35</v>
      </c>
      <c r="L34" s="10" t="s">
        <v>206</v>
      </c>
      <c r="M34" s="16">
        <v>1</v>
      </c>
      <c r="N34" s="10" t="s">
        <v>207</v>
      </c>
      <c r="O34" s="25" t="s">
        <v>208</v>
      </c>
      <c r="P34" s="11"/>
      <c r="Q34" s="10" t="s">
        <v>209</v>
      </c>
      <c r="R34" s="10" t="s">
        <v>210</v>
      </c>
      <c r="S34" s="10" t="s">
        <v>56</v>
      </c>
      <c r="T34" s="11"/>
      <c r="U34" s="11"/>
      <c r="V34" s="16">
        <v>50317</v>
      </c>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row>
    <row r="35" spans="1:63" ht="12.75">
      <c r="A35" s="7" t="s">
        <v>138</v>
      </c>
      <c r="B35" s="11"/>
      <c r="C35" s="25" t="s">
        <v>213</v>
      </c>
      <c r="D35" s="11"/>
      <c r="E35" s="25" t="s">
        <v>213</v>
      </c>
      <c r="F35" s="11"/>
      <c r="G35" s="34" t="s">
        <v>214</v>
      </c>
      <c r="H35" s="10" t="s">
        <v>62</v>
      </c>
      <c r="I35" s="10" t="s">
        <v>215</v>
      </c>
      <c r="J35" s="10" t="s">
        <v>49</v>
      </c>
      <c r="K35" s="14" t="s">
        <v>35</v>
      </c>
      <c r="L35" s="10" t="s">
        <v>216</v>
      </c>
      <c r="M35" s="16">
        <v>1</v>
      </c>
      <c r="N35" s="10" t="s">
        <v>217</v>
      </c>
      <c r="O35" s="10" t="s">
        <v>218</v>
      </c>
      <c r="P35" s="11"/>
      <c r="Q35" s="10" t="s">
        <v>219</v>
      </c>
      <c r="R35" s="10" t="s">
        <v>220</v>
      </c>
      <c r="S35" s="10" t="s">
        <v>56</v>
      </c>
      <c r="T35" s="11"/>
      <c r="U35" s="11"/>
      <c r="V35" s="16">
        <v>6078</v>
      </c>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row>
    <row r="36" spans="1:63" ht="12.75">
      <c r="A36" s="7" t="s">
        <v>138</v>
      </c>
      <c r="B36" s="11"/>
      <c r="C36" s="25" t="s">
        <v>221</v>
      </c>
      <c r="D36" s="11"/>
      <c r="E36" s="25" t="s">
        <v>221</v>
      </c>
      <c r="F36" s="11"/>
      <c r="G36" s="34" t="s">
        <v>214</v>
      </c>
      <c r="H36" s="10" t="s">
        <v>62</v>
      </c>
      <c r="I36" s="10" t="s">
        <v>222</v>
      </c>
      <c r="J36" s="10" t="s">
        <v>105</v>
      </c>
      <c r="K36" s="14" t="s">
        <v>35</v>
      </c>
      <c r="L36" s="10" t="s">
        <v>216</v>
      </c>
      <c r="M36" s="16">
        <v>1</v>
      </c>
      <c r="N36" s="10" t="s">
        <v>217</v>
      </c>
      <c r="O36" s="10" t="s">
        <v>218</v>
      </c>
      <c r="P36" s="11"/>
      <c r="Q36" s="10" t="s">
        <v>219</v>
      </c>
      <c r="R36" s="10" t="s">
        <v>220</v>
      </c>
      <c r="S36" s="10" t="s">
        <v>56</v>
      </c>
      <c r="T36" s="11"/>
      <c r="U36" s="11"/>
      <c r="V36" s="16">
        <v>6078</v>
      </c>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row>
    <row r="37" spans="1:63" ht="12.75">
      <c r="A37" s="7" t="s">
        <v>223</v>
      </c>
      <c r="B37" s="11"/>
      <c r="C37" s="25" t="s">
        <v>224</v>
      </c>
      <c r="D37" s="11"/>
      <c r="E37" s="25" t="s">
        <v>224</v>
      </c>
      <c r="F37" s="11"/>
      <c r="G37" s="34" t="s">
        <v>214</v>
      </c>
      <c r="H37" s="10" t="s">
        <v>62</v>
      </c>
      <c r="I37" s="10" t="s">
        <v>225</v>
      </c>
      <c r="J37" s="10" t="s">
        <v>102</v>
      </c>
      <c r="K37" s="14" t="s">
        <v>35</v>
      </c>
      <c r="L37" s="10" t="s">
        <v>216</v>
      </c>
      <c r="M37" s="16">
        <v>1</v>
      </c>
      <c r="N37" s="10" t="s">
        <v>217</v>
      </c>
      <c r="O37" s="10" t="s">
        <v>218</v>
      </c>
      <c r="P37" s="11"/>
      <c r="Q37" s="10" t="s">
        <v>219</v>
      </c>
      <c r="R37" s="10" t="s">
        <v>220</v>
      </c>
      <c r="S37" s="10" t="s">
        <v>56</v>
      </c>
      <c r="T37" s="11"/>
      <c r="U37" s="11"/>
      <c r="V37" s="16">
        <v>6078</v>
      </c>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row>
    <row r="38" spans="1:63" ht="12.75">
      <c r="A38" s="7" t="s">
        <v>138</v>
      </c>
      <c r="B38" s="11"/>
      <c r="C38" s="25" t="s">
        <v>226</v>
      </c>
      <c r="D38" s="11"/>
      <c r="E38" s="25" t="s">
        <v>226</v>
      </c>
      <c r="F38" s="11"/>
      <c r="G38" s="34" t="s">
        <v>214</v>
      </c>
      <c r="H38" s="10" t="s">
        <v>62</v>
      </c>
      <c r="I38" s="10" t="s">
        <v>227</v>
      </c>
      <c r="J38" s="10" t="s">
        <v>102</v>
      </c>
      <c r="K38" s="14" t="s">
        <v>35</v>
      </c>
      <c r="L38" s="10" t="s">
        <v>216</v>
      </c>
      <c r="M38" s="16">
        <v>1</v>
      </c>
      <c r="N38" s="10" t="s">
        <v>217</v>
      </c>
      <c r="O38" s="10" t="s">
        <v>218</v>
      </c>
      <c r="P38" s="11"/>
      <c r="Q38" s="10" t="s">
        <v>219</v>
      </c>
      <c r="R38" s="10" t="s">
        <v>220</v>
      </c>
      <c r="S38" s="10" t="s">
        <v>56</v>
      </c>
      <c r="T38" s="11"/>
      <c r="U38" s="11"/>
      <c r="V38" s="16">
        <v>6078</v>
      </c>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row>
    <row r="39" spans="1:63" ht="12.75">
      <c r="A39" s="7" t="s">
        <v>138</v>
      </c>
      <c r="B39" s="11"/>
      <c r="C39" s="25" t="s">
        <v>228</v>
      </c>
      <c r="D39" s="11"/>
      <c r="E39" s="25" t="s">
        <v>228</v>
      </c>
      <c r="F39" s="11"/>
      <c r="G39" s="34" t="s">
        <v>214</v>
      </c>
      <c r="H39" s="10" t="s">
        <v>62</v>
      </c>
      <c r="I39" s="10" t="s">
        <v>229</v>
      </c>
      <c r="J39" s="10" t="s">
        <v>105</v>
      </c>
      <c r="K39" s="14" t="s">
        <v>35</v>
      </c>
      <c r="L39" s="10" t="s">
        <v>216</v>
      </c>
      <c r="M39" s="16">
        <v>1</v>
      </c>
      <c r="N39" s="10" t="s">
        <v>217</v>
      </c>
      <c r="O39" s="10" t="s">
        <v>218</v>
      </c>
      <c r="P39" s="11"/>
      <c r="Q39" s="10" t="s">
        <v>219</v>
      </c>
      <c r="R39" s="10" t="s">
        <v>220</v>
      </c>
      <c r="S39" s="10" t="s">
        <v>56</v>
      </c>
      <c r="T39" s="11"/>
      <c r="U39" s="11"/>
      <c r="V39" s="16">
        <v>6078</v>
      </c>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row>
    <row r="40" spans="1:63" ht="12.75">
      <c r="A40" s="7" t="s">
        <v>230</v>
      </c>
      <c r="B40" s="11"/>
      <c r="C40" s="25" t="s">
        <v>231</v>
      </c>
      <c r="D40" s="11"/>
      <c r="E40" s="25" t="s">
        <v>231</v>
      </c>
      <c r="F40" s="11"/>
      <c r="G40" s="35" t="s">
        <v>232</v>
      </c>
      <c r="H40" s="10" t="s">
        <v>233</v>
      </c>
      <c r="I40" s="10" t="s">
        <v>234</v>
      </c>
      <c r="J40" s="10" t="s">
        <v>235</v>
      </c>
      <c r="K40" s="14" t="s">
        <v>35</v>
      </c>
      <c r="L40" s="10" t="s">
        <v>236</v>
      </c>
      <c r="M40" s="16">
        <v>1</v>
      </c>
      <c r="N40" s="10" t="s">
        <v>237</v>
      </c>
      <c r="O40" s="25" t="s">
        <v>238</v>
      </c>
      <c r="P40" s="11"/>
      <c r="Q40" s="10" t="s">
        <v>239</v>
      </c>
      <c r="R40" s="10" t="s">
        <v>240</v>
      </c>
      <c r="S40" s="10" t="s">
        <v>56</v>
      </c>
      <c r="T40" s="11"/>
      <c r="U40" s="11"/>
      <c r="V40" s="10" t="s">
        <v>241</v>
      </c>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row>
    <row r="41" spans="1:63" ht="12.75">
      <c r="A41" s="7" t="s">
        <v>242</v>
      </c>
      <c r="B41" s="11"/>
      <c r="C41" s="25" t="s">
        <v>243</v>
      </c>
      <c r="D41" s="11"/>
      <c r="E41" s="25" t="s">
        <v>243</v>
      </c>
      <c r="F41" s="11"/>
      <c r="G41" s="20" t="s">
        <v>46</v>
      </c>
      <c r="H41" s="10" t="s">
        <v>244</v>
      </c>
      <c r="I41" s="10" t="s">
        <v>245</v>
      </c>
      <c r="J41" s="10" t="s">
        <v>102</v>
      </c>
      <c r="K41" s="14" t="s">
        <v>35</v>
      </c>
      <c r="L41" s="10" t="s">
        <v>246</v>
      </c>
      <c r="M41" s="16">
        <v>1</v>
      </c>
      <c r="N41" s="10" t="s">
        <v>247</v>
      </c>
      <c r="O41" s="10" t="s">
        <v>248</v>
      </c>
      <c r="P41" s="10" t="s">
        <v>249</v>
      </c>
      <c r="Q41" s="10" t="s">
        <v>250</v>
      </c>
      <c r="R41" s="10" t="s">
        <v>251</v>
      </c>
      <c r="S41" s="10" t="s">
        <v>251</v>
      </c>
      <c r="T41" s="11"/>
      <c r="U41" s="11"/>
      <c r="V41" s="16">
        <v>7647006</v>
      </c>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row>
    <row r="42" spans="1:63" ht="12.75">
      <c r="A42" s="36" t="s">
        <v>252</v>
      </c>
      <c r="B42" s="6"/>
      <c r="C42" s="37" t="s">
        <v>253</v>
      </c>
      <c r="D42" s="6"/>
      <c r="E42" s="37" t="s">
        <v>253</v>
      </c>
      <c r="F42" s="6"/>
      <c r="G42" s="12" t="s">
        <v>109</v>
      </c>
      <c r="H42" s="5" t="s">
        <v>94</v>
      </c>
      <c r="I42" s="5" t="s">
        <v>254</v>
      </c>
      <c r="J42" s="10" t="s">
        <v>49</v>
      </c>
      <c r="K42" s="14" t="s">
        <v>35</v>
      </c>
      <c r="L42" s="10" t="s">
        <v>255</v>
      </c>
      <c r="M42" s="16">
        <v>1</v>
      </c>
      <c r="N42" s="10" t="s">
        <v>256</v>
      </c>
      <c r="O42" s="25" t="s">
        <v>257</v>
      </c>
      <c r="P42" s="11"/>
      <c r="Q42" s="10" t="s">
        <v>258</v>
      </c>
      <c r="R42" s="10" t="s">
        <v>259</v>
      </c>
      <c r="S42" s="10" t="s">
        <v>56</v>
      </c>
      <c r="T42" s="11"/>
      <c r="U42" s="11"/>
      <c r="V42" s="16">
        <v>85364</v>
      </c>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row>
    <row r="43" spans="1:63" ht="12.75">
      <c r="A43" s="7" t="s">
        <v>91</v>
      </c>
      <c r="B43" s="11"/>
      <c r="C43" s="24" t="s">
        <v>260</v>
      </c>
      <c r="D43" s="11"/>
      <c r="E43" s="24" t="s">
        <v>260</v>
      </c>
      <c r="F43" s="11"/>
      <c r="G43" s="12" t="s">
        <v>31</v>
      </c>
      <c r="H43" s="5" t="s">
        <v>94</v>
      </c>
      <c r="I43" s="5" t="s">
        <v>261</v>
      </c>
      <c r="J43" s="10" t="s">
        <v>49</v>
      </c>
      <c r="K43" s="14" t="s">
        <v>35</v>
      </c>
      <c r="L43" s="10" t="s">
        <v>255</v>
      </c>
      <c r="M43" s="16">
        <v>1</v>
      </c>
      <c r="N43" s="10" t="s">
        <v>256</v>
      </c>
      <c r="O43" s="25" t="s">
        <v>257</v>
      </c>
      <c r="P43" s="11"/>
      <c r="Q43" s="10" t="s">
        <v>258</v>
      </c>
      <c r="R43" s="10" t="s">
        <v>259</v>
      </c>
      <c r="S43" s="10" t="s">
        <v>56</v>
      </c>
      <c r="T43" s="11"/>
      <c r="U43" s="11"/>
      <c r="V43" s="16">
        <v>85364</v>
      </c>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row>
    <row r="44" spans="1:63" ht="12.75">
      <c r="A44" s="7" t="s">
        <v>230</v>
      </c>
      <c r="B44" s="11"/>
      <c r="C44" s="25" t="s">
        <v>262</v>
      </c>
      <c r="D44" s="11"/>
      <c r="E44" s="25" t="s">
        <v>262</v>
      </c>
      <c r="F44" s="11"/>
      <c r="G44" s="35" t="s">
        <v>232</v>
      </c>
      <c r="H44" s="10" t="s">
        <v>233</v>
      </c>
      <c r="I44" s="10" t="s">
        <v>263</v>
      </c>
      <c r="J44" s="10" t="s">
        <v>264</v>
      </c>
      <c r="K44" s="14" t="s">
        <v>35</v>
      </c>
      <c r="L44" s="10" t="s">
        <v>265</v>
      </c>
      <c r="M44" s="16">
        <v>1</v>
      </c>
      <c r="N44" s="10" t="s">
        <v>266</v>
      </c>
      <c r="O44" s="10" t="s">
        <v>267</v>
      </c>
      <c r="P44" s="11"/>
      <c r="Q44" s="10" t="s">
        <v>268</v>
      </c>
      <c r="R44" s="10" t="s">
        <v>240</v>
      </c>
      <c r="S44" s="10" t="s">
        <v>56</v>
      </c>
      <c r="T44" s="11"/>
      <c r="U44" s="11"/>
      <c r="V44" s="16">
        <v>78586</v>
      </c>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row>
    <row r="45" spans="1:63" ht="12.75">
      <c r="A45" s="7" t="s">
        <v>269</v>
      </c>
      <c r="B45" s="11"/>
      <c r="C45" s="25" t="s">
        <v>270</v>
      </c>
      <c r="D45" s="11"/>
      <c r="E45" s="25" t="s">
        <v>270</v>
      </c>
      <c r="F45" s="11"/>
      <c r="G45" s="12" t="s">
        <v>109</v>
      </c>
      <c r="H45" s="10" t="s">
        <v>271</v>
      </c>
      <c r="I45" s="10" t="s">
        <v>272</v>
      </c>
      <c r="J45" s="10" t="s">
        <v>102</v>
      </c>
      <c r="K45" s="14" t="s">
        <v>35</v>
      </c>
      <c r="L45" s="10" t="s">
        <v>273</v>
      </c>
      <c r="M45" s="16">
        <v>1</v>
      </c>
      <c r="N45" s="10" t="s">
        <v>274</v>
      </c>
      <c r="O45" s="25" t="s">
        <v>275</v>
      </c>
      <c r="P45" s="11"/>
      <c r="Q45" s="10" t="s">
        <v>276</v>
      </c>
      <c r="R45" s="10" t="s">
        <v>276</v>
      </c>
      <c r="S45" s="10" t="s">
        <v>277</v>
      </c>
      <c r="T45" s="11"/>
      <c r="U45" s="11"/>
      <c r="V45" s="16">
        <v>8046</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row>
    <row r="46" spans="1:63" ht="12.75">
      <c r="A46" s="36" t="s">
        <v>252</v>
      </c>
      <c r="B46" s="6"/>
      <c r="C46" s="37" t="s">
        <v>278</v>
      </c>
      <c r="D46" s="6"/>
      <c r="E46" s="37" t="s">
        <v>278</v>
      </c>
      <c r="F46" s="6"/>
      <c r="G46" s="12" t="s">
        <v>109</v>
      </c>
      <c r="H46" s="5" t="s">
        <v>94</v>
      </c>
      <c r="I46" s="5" t="s">
        <v>279</v>
      </c>
      <c r="J46" s="10" t="s">
        <v>175</v>
      </c>
      <c r="K46" s="14" t="s">
        <v>35</v>
      </c>
      <c r="L46" s="10" t="s">
        <v>280</v>
      </c>
      <c r="M46" s="16">
        <v>1</v>
      </c>
      <c r="N46" s="10" t="s">
        <v>281</v>
      </c>
      <c r="O46" s="10" t="s">
        <v>282</v>
      </c>
      <c r="P46" s="11"/>
      <c r="Q46" s="10" t="s">
        <v>283</v>
      </c>
      <c r="R46" s="10" t="s">
        <v>145</v>
      </c>
      <c r="S46" s="10" t="s">
        <v>56</v>
      </c>
      <c r="T46" s="11"/>
      <c r="U46" s="11"/>
      <c r="V46" s="16">
        <v>36610</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row>
    <row r="47" spans="1:63" ht="12.75">
      <c r="A47" s="7" t="s">
        <v>284</v>
      </c>
      <c r="B47" s="11"/>
      <c r="C47" s="25" t="s">
        <v>285</v>
      </c>
      <c r="D47" s="11"/>
      <c r="E47" s="25" t="s">
        <v>285</v>
      </c>
      <c r="F47" s="11"/>
      <c r="G47" s="12" t="s">
        <v>31</v>
      </c>
      <c r="H47" s="10" t="s">
        <v>286</v>
      </c>
      <c r="I47" s="10" t="s">
        <v>287</v>
      </c>
      <c r="J47" s="10" t="s">
        <v>102</v>
      </c>
      <c r="K47" s="14" t="s">
        <v>35</v>
      </c>
      <c r="L47" s="10" t="s">
        <v>288</v>
      </c>
      <c r="M47" s="16">
        <v>1</v>
      </c>
      <c r="N47" s="10" t="s">
        <v>289</v>
      </c>
      <c r="O47" s="25" t="s">
        <v>290</v>
      </c>
      <c r="P47" s="11"/>
      <c r="Q47" s="10" t="s">
        <v>291</v>
      </c>
      <c r="R47" s="10" t="s">
        <v>100</v>
      </c>
      <c r="S47" s="10" t="s">
        <v>56</v>
      </c>
      <c r="T47" s="11"/>
      <c r="U47" s="11"/>
      <c r="V47" s="16">
        <v>70374</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row>
    <row r="48" spans="1:63" ht="12.7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row>
    <row r="49" spans="1:63" ht="12.7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row>
    <row r="50" spans="1:63" ht="12.7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row>
    <row r="51" spans="1:63" ht="12.7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row>
    <row r="52" spans="1:63" ht="12.7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row>
    <row r="53" spans="1:63" ht="12.7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row>
    <row r="54" spans="1:63" ht="12.7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row>
    <row r="55" spans="1:63" ht="12.7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row>
    <row r="56" spans="1:63" ht="12.7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row>
    <row r="57" spans="1:63" ht="12.7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row>
    <row r="58" spans="1:63" ht="12.7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row>
    <row r="59" spans="1:63" ht="12.7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row>
    <row r="60" spans="1:63" ht="12.7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row>
    <row r="61" spans="1:63" ht="12.7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row>
    <row r="62" spans="1:63" ht="12.7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row>
    <row r="63" spans="1:63" ht="12.7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row>
    <row r="64" spans="1:63" ht="12.7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row>
    <row r="65" spans="1:63" ht="12.7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row>
    <row r="66" spans="1:63" ht="12.7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row>
    <row r="67" spans="1:63" ht="12.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row>
    <row r="68" spans="1:63" ht="12.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row>
    <row r="69" spans="1:63" ht="12.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row>
    <row r="70" spans="1:63" ht="12.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row>
    <row r="71" spans="1:63" ht="12.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row>
    <row r="72" spans="1:63" ht="12.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row>
    <row r="73" spans="1:63" ht="12.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row>
    <row r="74" spans="1:63" ht="12.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row>
    <row r="75" spans="1:63" ht="12.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row>
    <row r="76" spans="1:63" ht="12.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row>
    <row r="77" spans="1:63" ht="12.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row>
    <row r="78" spans="1:63" ht="12.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row>
    <row r="79" spans="1:63" ht="12.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row>
    <row r="80" spans="1:63" ht="12.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row>
    <row r="81" spans="1:63" ht="12.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row>
    <row r="82" spans="1:63" ht="12.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row>
    <row r="83" spans="1:63" ht="12.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row>
    <row r="84" spans="1:63" ht="12.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row>
    <row r="85" spans="1:63" ht="12.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row>
    <row r="86" spans="1:63" ht="12.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row>
    <row r="87" spans="1:63" ht="12.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row>
    <row r="88" spans="1:63" ht="12.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row>
    <row r="89" spans="1:63" ht="12.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row>
    <row r="90" spans="1:63" ht="12.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row>
    <row r="91" spans="1:63" ht="12.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row>
    <row r="92" spans="1:63" ht="12.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row>
    <row r="93" spans="1:63" ht="12.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row>
    <row r="94" spans="1:63" ht="12.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row>
    <row r="95" spans="1:63" ht="12.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row>
    <row r="96" spans="1:63" ht="12.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row>
    <row r="97" spans="1:63" ht="12.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row>
    <row r="98" spans="1:63" ht="12.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row>
    <row r="99" spans="1:63" ht="12.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row>
    <row r="100" spans="1:63" ht="12.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row>
    <row r="101" spans="1:63" ht="12.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row>
    <row r="102" spans="1:63"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row>
    <row r="103" spans="1:63"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row>
    <row r="104" spans="1:63"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row>
    <row r="105" spans="1:63"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row>
    <row r="106" spans="1:63"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row>
    <row r="107" spans="1:63"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row>
    <row r="108" spans="1:63"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row>
    <row r="109" spans="1:63"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row>
    <row r="110" spans="1:63"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row>
    <row r="111" spans="1:63"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row>
    <row r="112" spans="1:63"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row>
    <row r="113" spans="1:63"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row>
    <row r="114" spans="1:63"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row>
    <row r="115" spans="1:63"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row>
    <row r="116" spans="1:63"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row>
    <row r="117" spans="1:63"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row>
    <row r="118" spans="1:63"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row>
    <row r="119" spans="1:63"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row>
    <row r="120" spans="1:63"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row>
    <row r="121" spans="1:63"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row>
    <row r="122" spans="1:63"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row>
    <row r="123" spans="1:63"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row>
    <row r="124" spans="1:63"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row>
    <row r="125" spans="1:63"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row>
    <row r="126" spans="1:63"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row>
    <row r="127" spans="1:63"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row>
    <row r="128" spans="1:63"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row>
    <row r="129" spans="1:63"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row>
    <row r="130" spans="1:63"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row>
    <row r="131" spans="1:63"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row>
    <row r="132" spans="1:63"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row>
    <row r="133" spans="1:63"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row>
    <row r="134" spans="1:63"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row>
    <row r="135" spans="1:63"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row>
    <row r="136" spans="1:63"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row>
    <row r="137" spans="1:63"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row>
    <row r="138" spans="1:63"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row>
    <row r="139" spans="1:63"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row>
    <row r="140" spans="1:63"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row>
    <row r="141" spans="1:63"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row>
    <row r="142" spans="1:63"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row>
    <row r="143" spans="1:63"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row>
    <row r="144" spans="1:63"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row>
    <row r="145" spans="1:63"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row>
    <row r="146" spans="1:63"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row>
    <row r="147" spans="1:63"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row>
    <row r="148" spans="1:63"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row>
    <row r="149" spans="1:63"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row>
    <row r="150" spans="1:63"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row>
    <row r="151" spans="1:63"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row>
    <row r="152" spans="1:63"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row>
    <row r="153" spans="1:63"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row>
    <row r="154" spans="1:63"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row>
    <row r="155" spans="1:63"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row>
    <row r="156" spans="1:63"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row>
    <row r="157" spans="1:63"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row>
    <row r="158" spans="1:63"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row>
    <row r="159" spans="1:63"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row>
    <row r="160" spans="1:63"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row>
    <row r="161" spans="1:63"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row>
    <row r="162" spans="1:63"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row>
    <row r="163" spans="1:63"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row>
    <row r="164" spans="1:63"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row>
    <row r="165" spans="1:63"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row>
    <row r="166" spans="1:63"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row>
    <row r="167" spans="1:63"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row>
    <row r="168" spans="1:63"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row>
    <row r="169" spans="1:63"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row>
    <row r="170" spans="1:63"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row>
    <row r="171" spans="1:63"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row>
    <row r="172" spans="1:63"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row>
    <row r="173" spans="1:63"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row>
    <row r="174" spans="1:63"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row>
    <row r="175" spans="1:63"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row>
    <row r="176" spans="1:63"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row>
    <row r="177" spans="1:63"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row>
    <row r="178" spans="1:63"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row>
    <row r="179" spans="1:63"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row>
    <row r="180" spans="1:63"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row>
    <row r="181" spans="1:63"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row>
    <row r="182" spans="1:63"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row>
    <row r="183" spans="1:63"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row>
    <row r="184" spans="1:63"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row>
    <row r="185" spans="1:63"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row>
    <row r="186" spans="1:63"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row>
    <row r="187" spans="1:63"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row>
    <row r="188" spans="1:63"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row>
    <row r="189" spans="1:63"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row>
    <row r="190" spans="1:63"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row>
    <row r="191" spans="1:63"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row>
    <row r="192" spans="1:63"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row>
    <row r="193" spans="1:63"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row>
    <row r="194" spans="1:63"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row>
    <row r="195" spans="1:63"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row>
    <row r="196" spans="1:63"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row>
    <row r="197" spans="1:63"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row>
    <row r="198" spans="1:63"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row>
    <row r="199" spans="1:63"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row>
    <row r="200" spans="1:63"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row>
    <row r="201" spans="1:63"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row>
    <row r="202" spans="1:63"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row>
    <row r="203" spans="1:63"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row>
    <row r="204" spans="1:63"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row>
    <row r="205" spans="1:63"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row>
    <row r="206" spans="1:63"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row>
    <row r="207" spans="1:63"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row>
    <row r="208" spans="1:63"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row>
    <row r="209" spans="1:63"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row>
    <row r="210" spans="1:63"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row>
    <row r="211" spans="1:63"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row>
    <row r="212" spans="1:63"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row>
    <row r="213" spans="1:63"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row>
    <row r="214" spans="1:63"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row>
    <row r="215" spans="1:63"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row>
    <row r="216" spans="1:63"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row>
    <row r="217" spans="1:63"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row>
    <row r="218" spans="1:63"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row>
    <row r="219" spans="1:63"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row>
    <row r="220" spans="1:63"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row>
    <row r="221" spans="1:63"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row>
    <row r="222" spans="1:63"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row>
    <row r="223" spans="1:63"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row>
    <row r="224" spans="1:63"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row>
    <row r="225" spans="1:63"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row>
    <row r="226" spans="1:63"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row>
    <row r="227" spans="1:63"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row>
    <row r="228" spans="1:63"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row>
    <row r="229" spans="1:63"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row>
    <row r="230" spans="1:63"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row>
    <row r="231" spans="1:63"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row>
    <row r="232" spans="1:63"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row>
    <row r="233" spans="1:63"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row>
    <row r="234" spans="1:63"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row>
    <row r="235" spans="1:63"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row>
    <row r="236" spans="1:63"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row>
    <row r="237" spans="1:63"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row>
    <row r="238" spans="1:63"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row>
    <row r="239" spans="1:63"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row>
    <row r="240" spans="1:63"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row>
    <row r="241" spans="1:63"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row>
    <row r="242" spans="1:63"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row>
    <row r="243" spans="1:63"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row>
    <row r="244" spans="1:63"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row>
    <row r="245" spans="1:63"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row>
    <row r="246" spans="1:63"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row>
    <row r="247" spans="1:63"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row>
    <row r="248" spans="1:63"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row>
    <row r="249" spans="1:63"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row>
    <row r="250" spans="1:63"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row>
    <row r="251" spans="1:63"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row>
    <row r="252" spans="1:63"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row>
    <row r="253" spans="1:63"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row>
    <row r="254" spans="1:63"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row>
    <row r="255" spans="1:63"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row>
    <row r="256" spans="1:63"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row>
    <row r="257" spans="1:63"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row>
    <row r="258" spans="1:63"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row>
    <row r="259" spans="1:63"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row>
    <row r="260" spans="1:63"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row>
    <row r="261" spans="1:63"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row>
    <row r="262" spans="1:63"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row>
    <row r="263" spans="1:63"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row>
    <row r="264" spans="1:63"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row>
    <row r="265" spans="1:63"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row>
    <row r="266" spans="1:63"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row>
    <row r="267" spans="1:63"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row>
    <row r="268" spans="1:63"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row>
    <row r="269" spans="1:63"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row>
    <row r="270" spans="1:63"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row>
    <row r="271" spans="1:63"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row>
    <row r="272" spans="1:63"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row>
    <row r="273" spans="1:63"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row>
    <row r="274" spans="1:63"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row>
    <row r="275" spans="1:63"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row>
    <row r="276" spans="1:63"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row>
    <row r="277" spans="1:63"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row>
    <row r="278" spans="1:63"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row>
    <row r="279" spans="1:63"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row>
    <row r="280" spans="1:63"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row>
    <row r="281" spans="1:63"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row>
    <row r="282" spans="1:63"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row>
    <row r="283" spans="1:63"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row>
    <row r="284" spans="1:63"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row>
    <row r="285" spans="1:63"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row>
    <row r="286" spans="1:63"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row>
    <row r="287" spans="1:63"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row>
    <row r="288" spans="1:63"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row>
    <row r="289" spans="1:63"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row>
    <row r="290" spans="1:63"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row>
    <row r="291" spans="1:63"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row>
    <row r="292" spans="1:63"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row>
    <row r="293" spans="1:63"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row>
    <row r="294" spans="1:63"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row>
    <row r="295" spans="1:63"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row>
    <row r="296" spans="1:63"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row>
    <row r="297" spans="1:63"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row>
    <row r="298" spans="1:63"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row>
    <row r="299" spans="1:63"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row>
    <row r="300" spans="1:63"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row>
    <row r="301" spans="1:63"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row>
    <row r="302" spans="1:63"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row>
    <row r="303" spans="1:63"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row>
    <row r="304" spans="1:63"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row>
    <row r="305" spans="1:63"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row>
    <row r="306" spans="1:63"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row>
    <row r="307" spans="1:63"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row>
    <row r="308" spans="1:63"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row>
    <row r="309" spans="1:63"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row>
    <row r="310" spans="1:63"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row>
    <row r="311" spans="1:63"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row>
    <row r="312" spans="1:63"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row>
    <row r="313" spans="1:63"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row>
    <row r="314" spans="1:63"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row>
    <row r="315" spans="1:63"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row>
    <row r="316" spans="1:63"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row>
    <row r="317" spans="1:63"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row>
    <row r="318" spans="1:63"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row>
    <row r="319" spans="1:63"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row>
    <row r="320" spans="1:63"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row>
    <row r="321" spans="1:63"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row>
    <row r="322" spans="1:63"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row>
    <row r="323" spans="1:63"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row>
    <row r="324" spans="1:63"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row>
    <row r="325" spans="1:63"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row>
    <row r="326" spans="1:63"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row>
    <row r="327" spans="1:63"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row>
    <row r="328" spans="1:63"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row>
    <row r="329" spans="1:63"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row>
    <row r="330" spans="1:63"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row>
    <row r="331" spans="1:63"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row>
    <row r="332" spans="1:63"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row>
    <row r="333" spans="1:63"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row>
    <row r="334" spans="1:63"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row>
    <row r="335" spans="1:63"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row>
    <row r="336" spans="1:63"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row>
    <row r="337" spans="1:63"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row>
    <row r="338" spans="1:63"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row>
    <row r="339" spans="1:63"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row>
    <row r="340" spans="1:63"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row>
    <row r="341" spans="1:63"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row>
    <row r="342" spans="1:63"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row>
    <row r="343" spans="1:63"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row>
    <row r="344" spans="1:63"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row>
    <row r="345" spans="1:63"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row>
    <row r="346" spans="1:63"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row>
    <row r="347" spans="1:63"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row>
    <row r="348" spans="1:63"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row>
    <row r="349" spans="1:63"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row>
    <row r="350" spans="1:63"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row>
    <row r="351" spans="1:63"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row>
    <row r="352" spans="1:63"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row>
    <row r="353" spans="1:63"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row>
    <row r="354" spans="1:63"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row>
    <row r="355" spans="1:63"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row>
    <row r="356" spans="1:63"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row>
    <row r="357" spans="1:63"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row>
    <row r="358" spans="1:63"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row>
    <row r="359" spans="1:63"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row>
    <row r="360" spans="1:63"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row>
    <row r="361" spans="1:63"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row>
    <row r="362" spans="1:63"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row>
    <row r="363" spans="1:63"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row>
    <row r="364" spans="1:63"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row>
    <row r="365" spans="1:63"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row>
    <row r="366" spans="1:63"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row>
    <row r="367" spans="1:63"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row>
    <row r="368" spans="1:63"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row>
    <row r="369" spans="1:63"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row>
    <row r="370" spans="1:63"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row>
    <row r="371" spans="1:63"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row>
    <row r="372" spans="1:63"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row>
    <row r="373" spans="1:63"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row>
    <row r="374" spans="1:63"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row>
    <row r="375" spans="1:63"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row>
    <row r="376" spans="1:63"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row>
    <row r="377" spans="1:63"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row>
    <row r="378" spans="1:63"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row>
    <row r="379" spans="1:63"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row>
    <row r="380" spans="1:63"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row>
    <row r="381" spans="1:63"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row>
    <row r="382" spans="1:63"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row>
    <row r="383" spans="1:63"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row>
    <row r="384" spans="1:63"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row>
    <row r="385" spans="1:63"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row>
    <row r="386" spans="1:63"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row>
    <row r="387" spans="1:63"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row>
    <row r="388" spans="1:63"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row>
    <row r="389" spans="1:63"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row>
    <row r="390" spans="1:63"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row>
    <row r="391" spans="1:63"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row>
    <row r="392" spans="1:63"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row>
    <row r="393" spans="1:63"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row>
    <row r="394" spans="1:63"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row>
    <row r="395" spans="1:63"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row>
    <row r="396" spans="1:63"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row>
    <row r="397" spans="1:63"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row>
    <row r="398" spans="1:63"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row>
    <row r="399" spans="1:63"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row>
    <row r="400" spans="1:63"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row>
    <row r="401" spans="1:63"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row>
    <row r="402" spans="1:63"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row>
    <row r="403" spans="1:63"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row>
    <row r="404" spans="1:63"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row>
    <row r="405" spans="1:63"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row>
    <row r="406" spans="1:63"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row>
    <row r="407" spans="1:63"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row>
    <row r="408" spans="1:63"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row>
    <row r="409" spans="1:63"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row>
    <row r="410" spans="1:63"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row>
    <row r="411" spans="1:63"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row>
    <row r="412" spans="1:63"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row>
    <row r="413" spans="1:63"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row>
    <row r="414" spans="1:63"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row>
    <row r="415" spans="1:63"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row>
    <row r="416" spans="1:63"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row>
    <row r="417" spans="1:63"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row>
    <row r="418" spans="1:63"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row>
    <row r="419" spans="1:63"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row>
    <row r="420" spans="1:63"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row>
    <row r="421" spans="1:63"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row>
    <row r="422" spans="1:63"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row>
    <row r="423" spans="1:63"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row>
    <row r="424" spans="1:63"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row>
    <row r="425" spans="1:63"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row>
    <row r="426" spans="1:63"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row>
    <row r="427" spans="1:63"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row>
    <row r="428" spans="1:63"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row>
    <row r="429" spans="1:63"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row>
    <row r="430" spans="1:63"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row>
    <row r="431" spans="1:63"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row>
    <row r="432" spans="1:63"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row>
    <row r="433" spans="1:63"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row>
    <row r="434" spans="1:63"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row>
    <row r="435" spans="1:63"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row>
    <row r="436" spans="1:63"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row>
    <row r="437" spans="1:63"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row>
    <row r="438" spans="1:63"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row>
    <row r="439" spans="1:63"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row>
    <row r="440" spans="1:63"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row>
    <row r="441" spans="1:63"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row>
    <row r="442" spans="1:63"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row>
    <row r="443" spans="1:63"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row>
    <row r="444" spans="1:63"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row>
    <row r="445" spans="1:63"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row>
    <row r="446" spans="1:63"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row>
    <row r="447" spans="1:63"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row>
    <row r="448" spans="1:63"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row>
    <row r="449" spans="1:63"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row>
    <row r="450" spans="1:63"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row>
    <row r="451" spans="1:63"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row>
    <row r="452" spans="1:63"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row>
    <row r="453" spans="1:63"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row>
    <row r="454" spans="1:63"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row>
    <row r="455" spans="1:63"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row>
    <row r="456" spans="1:63"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row>
    <row r="457" spans="1:63"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row>
    <row r="458" spans="1:63"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row>
    <row r="459" spans="1:63"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row>
    <row r="460" spans="1:63"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row>
    <row r="461" spans="1:63"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row>
    <row r="462" spans="1:63"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row>
    <row r="463" spans="1:63"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row>
    <row r="464" spans="1:63"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row>
    <row r="465" spans="1:63"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row>
    <row r="466" spans="1:63"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row>
    <row r="467" spans="1:63"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row>
    <row r="468" spans="1:63"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row>
    <row r="469" spans="1:63"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row>
    <row r="470" spans="1:63"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row>
    <row r="471" spans="1:63"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row>
    <row r="472" spans="1:63"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row>
    <row r="473" spans="1:63"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row>
    <row r="474" spans="1:63"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row>
    <row r="475" spans="1:63"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row>
    <row r="476" spans="1:63"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row>
    <row r="477" spans="1:63"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row>
    <row r="478" spans="1:63"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row>
    <row r="479" spans="1:63"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row>
    <row r="480" spans="1:63"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row>
    <row r="481" spans="1:63"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row>
    <row r="482" spans="1:63"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row>
    <row r="483" spans="1:63"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row>
    <row r="484" spans="1:63"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row>
    <row r="485" spans="1:63"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row>
    <row r="486" spans="1:63"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row>
    <row r="487" spans="1:63"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row>
    <row r="488" spans="1:63"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row>
    <row r="489" spans="1:63"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row>
    <row r="490" spans="1:63"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row>
    <row r="491" spans="1:63"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row>
    <row r="492" spans="1:63"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row>
    <row r="493" spans="1:63"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row>
    <row r="494" spans="1:63"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row>
    <row r="495" spans="1:63"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row>
    <row r="496" spans="1:63"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row>
    <row r="497" spans="1:63"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row>
    <row r="498" spans="1:63"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row>
    <row r="499" spans="1:63"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row>
    <row r="500" spans="1:63"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row>
    <row r="501" spans="1:63"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row>
    <row r="502" spans="1:63"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row>
    <row r="503" spans="1:63"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row>
    <row r="504" spans="1:63"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row>
    <row r="505" spans="1:63"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row>
    <row r="506" spans="1:63"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row>
    <row r="507" spans="1:63"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row>
    <row r="508" spans="1:63"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row>
    <row r="509" spans="1:63"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row>
    <row r="510" spans="1:63"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row>
    <row r="511" spans="1:63"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row>
    <row r="512" spans="1:63"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row>
    <row r="513" spans="1:63"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row>
    <row r="514" spans="1:63"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row>
    <row r="515" spans="1:63"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row>
    <row r="516" spans="1:63"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row>
    <row r="517" spans="1:63"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row>
    <row r="518" spans="1:63"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row>
    <row r="519" spans="1:63"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row>
    <row r="520" spans="1:63"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row>
    <row r="521" spans="1:63"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row>
    <row r="522" spans="1:63"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row>
    <row r="523" spans="1:63"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row>
    <row r="524" spans="1:63"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row>
    <row r="525" spans="1:63"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row>
    <row r="526" spans="1:63"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row>
    <row r="527" spans="1:63"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row>
    <row r="528" spans="1:63"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row>
    <row r="529" spans="1:63"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row>
    <row r="530" spans="1:63"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row>
    <row r="531" spans="1:63"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row>
    <row r="532" spans="1:63"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row>
    <row r="533" spans="1:63"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row>
    <row r="534" spans="1:63"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row>
    <row r="535" spans="1:63"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row>
    <row r="536" spans="1:63"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row>
    <row r="537" spans="1:63"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row>
    <row r="538" spans="1:63"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row>
    <row r="539" spans="1:63"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row>
    <row r="540" spans="1:63"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row>
    <row r="541" spans="1:63"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row>
    <row r="542" spans="1:63"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row>
    <row r="543" spans="1:63"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row>
    <row r="544" spans="1:63"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row>
    <row r="545" spans="1:63"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row>
    <row r="546" spans="1:63"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row>
    <row r="547" spans="1:63"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row>
    <row r="548" spans="1:63"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row>
    <row r="549" spans="1:63"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row>
    <row r="550" spans="1:63"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row>
    <row r="551" spans="1:63"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row>
    <row r="552" spans="1:63"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row>
    <row r="553" spans="1:63"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row>
    <row r="554" spans="1:63"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row>
    <row r="555" spans="1:63"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row>
    <row r="556" spans="1:63"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row>
    <row r="557" spans="1:63"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row>
    <row r="558" spans="1:63"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row>
    <row r="559" spans="1:63"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row>
    <row r="560" spans="1:63"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row>
    <row r="561" spans="1:63"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row>
    <row r="562" spans="1:63"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row>
    <row r="563" spans="1:63"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row>
    <row r="564" spans="1:63"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row>
    <row r="565" spans="1:63"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row>
    <row r="566" spans="1:63"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row>
    <row r="567" spans="1:63"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row>
    <row r="568" spans="1:63"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row>
    <row r="569" spans="1:63"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row>
    <row r="570" spans="1:63"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row>
    <row r="571" spans="1:63"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row>
    <row r="572" spans="1:63"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row>
    <row r="573" spans="1:63"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row>
    <row r="574" spans="1:63"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row>
    <row r="575" spans="1:63"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row>
    <row r="576" spans="1:63"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row>
    <row r="577" spans="1:63"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row>
    <row r="578" spans="1:63"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row>
    <row r="579" spans="1:63"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row>
    <row r="580" spans="1:63"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row>
    <row r="581" spans="1:63"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row>
    <row r="582" spans="1:63"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row>
    <row r="583" spans="1:63"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row>
    <row r="584" spans="1:63"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row>
    <row r="585" spans="1:63"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row>
    <row r="586" spans="1:63"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row>
    <row r="587" spans="1:63"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row>
    <row r="588" spans="1:63"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row>
    <row r="589" spans="1:63"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row>
    <row r="590" spans="1:63"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row>
    <row r="591" spans="1:63"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row>
    <row r="592" spans="1:63"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row>
    <row r="593" spans="1:63"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row>
    <row r="594" spans="1:63"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row>
    <row r="595" spans="1:63"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row>
    <row r="596" spans="1:63"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row>
    <row r="597" spans="1:63"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row>
    <row r="598" spans="1:63"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row>
    <row r="599" spans="1:63"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row>
    <row r="600" spans="1:63"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row>
    <row r="601" spans="1:63"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row>
    <row r="602" spans="1:63"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row>
    <row r="603" spans="1:63"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row>
    <row r="604" spans="1:63"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row>
    <row r="605" spans="1:63"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row>
    <row r="606" spans="1:63"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row>
    <row r="607" spans="1:63"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row>
    <row r="608" spans="1:63"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row>
    <row r="609" spans="1:63"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row>
    <row r="610" spans="1:63"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row>
    <row r="611" spans="1:63"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row>
    <row r="612" spans="1:63"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row>
    <row r="613" spans="1:63"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row>
    <row r="614" spans="1:63"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row>
    <row r="615" spans="1:63"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row>
    <row r="616" spans="1:63"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row>
    <row r="617" spans="1:63"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row>
    <row r="618" spans="1:63"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row>
    <row r="619" spans="1:63"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row>
    <row r="620" spans="1:63"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row>
    <row r="621" spans="1:63"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row>
    <row r="622" spans="1:63"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row>
    <row r="623" spans="1:63"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row>
    <row r="624" spans="1:63"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row>
    <row r="625" spans="1:63"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row>
    <row r="626" spans="1:63"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row>
    <row r="627" spans="1:63"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row>
    <row r="628" spans="1:63"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row>
    <row r="629" spans="1:63"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row>
    <row r="630" spans="1:63"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row>
    <row r="631" spans="1:63"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row>
    <row r="632" spans="1:63"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row>
    <row r="633" spans="1:63"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row>
    <row r="634" spans="1:63"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row>
    <row r="635" spans="1:63"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row>
    <row r="636" spans="1:63"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row>
    <row r="637" spans="1:63"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row>
    <row r="638" spans="1:63"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row>
    <row r="639" spans="1:63"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row>
    <row r="640" spans="1:63"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row>
    <row r="641" spans="1:63"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row>
    <row r="642" spans="1:63"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row>
    <row r="643" spans="1:63"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row>
    <row r="644" spans="1:63"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row>
    <row r="645" spans="1:63"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row>
    <row r="646" spans="1:63"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row>
    <row r="647" spans="1:63"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row>
    <row r="648" spans="1:63"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row>
    <row r="649" spans="1:63"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row>
    <row r="650" spans="1:63"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row>
    <row r="651" spans="1:63"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row>
    <row r="652" spans="1:63"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row>
    <row r="653" spans="1:63"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row>
    <row r="654" spans="1:63"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row>
    <row r="655" spans="1:63"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row>
    <row r="656" spans="1:63"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row>
    <row r="657" spans="1:63"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row>
    <row r="658" spans="1:63"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row>
    <row r="659" spans="1:63"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row>
    <row r="660" spans="1:63"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row>
    <row r="661" spans="1:63"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row>
    <row r="662" spans="1:63"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row>
    <row r="663" spans="1:63"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row>
    <row r="664" spans="1:63"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row>
    <row r="665" spans="1:63"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row>
    <row r="666" spans="1:63"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row>
    <row r="667" spans="1:63"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row>
    <row r="668" spans="1:63"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row>
    <row r="669" spans="1:63"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row>
    <row r="670" spans="1:63"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row>
    <row r="671" spans="1:63"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row>
    <row r="672" spans="1:63"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row>
    <row r="673" spans="1:63"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row>
    <row r="674" spans="1:63"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row>
    <row r="675" spans="1:63"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row>
    <row r="676" spans="1:63"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row>
    <row r="677" spans="1:63"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row>
    <row r="678" spans="1:63"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row>
    <row r="679" spans="1:63"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row>
    <row r="680" spans="1:63"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row>
    <row r="681" spans="1:63"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row>
    <row r="682" spans="1:63"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row>
    <row r="683" spans="1:63"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row>
    <row r="684" spans="1:63"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row>
    <row r="685" spans="1:63"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row>
    <row r="686" spans="1:63"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row>
    <row r="687" spans="1:63"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row>
    <row r="688" spans="1:63"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row>
    <row r="689" spans="1:63"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row>
    <row r="690" spans="1:63"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row>
    <row r="691" spans="1:63"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row>
    <row r="692" spans="1:63"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row>
    <row r="693" spans="1:63"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row>
    <row r="694" spans="1:63"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row>
    <row r="695" spans="1:63"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row>
    <row r="696" spans="1:63"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row>
    <row r="697" spans="1:63"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row>
    <row r="698" spans="1:63"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row>
    <row r="699" spans="1:63"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row>
    <row r="700" spans="1:63"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row>
    <row r="701" spans="1:63"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row>
    <row r="702" spans="1:63"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row>
    <row r="703" spans="1:63"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row>
    <row r="704" spans="1:63"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row>
    <row r="705" spans="1:63"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row>
    <row r="706" spans="1:63"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row>
    <row r="707" spans="1:63"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row>
    <row r="708" spans="1:63"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row>
    <row r="709" spans="1:63"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row>
    <row r="710" spans="1:63"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row>
    <row r="711" spans="1:63"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row>
    <row r="712" spans="1:63"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row>
    <row r="713" spans="1:63"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row>
    <row r="714" spans="1:63"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row>
    <row r="715" spans="1:63"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row>
    <row r="716" spans="1:63"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row>
    <row r="717" spans="1:63"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row>
    <row r="718" spans="1:63"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row>
    <row r="719" spans="1:63"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row>
    <row r="720" spans="1:63"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row>
    <row r="721" spans="1:63"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row>
    <row r="722" spans="1:63"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row>
    <row r="723" spans="1:63"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row>
    <row r="724" spans="1:63"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row>
    <row r="725" spans="1:63"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row>
    <row r="726" spans="1:63"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row>
    <row r="727" spans="1:63"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row>
    <row r="728" spans="1:63"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row>
    <row r="729" spans="1:63"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row>
    <row r="730" spans="1:63"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row>
    <row r="731" spans="1:63"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row>
    <row r="732" spans="1:63"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row>
    <row r="733" spans="1:63"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row>
    <row r="734" spans="1:63"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row>
    <row r="735" spans="1:63"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row>
    <row r="736" spans="1:63"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row>
    <row r="737" spans="1:63"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row>
    <row r="738" spans="1:63"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row>
    <row r="739" spans="1:63"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row>
    <row r="740" spans="1:63"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row>
    <row r="741" spans="1:63"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row>
    <row r="742" spans="1:63"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row>
    <row r="743" spans="1:63"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row>
    <row r="744" spans="1:63"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row>
    <row r="745" spans="1:63"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row>
    <row r="746" spans="1:63"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row>
    <row r="747" spans="1:63"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row>
    <row r="748" spans="1:63"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row>
    <row r="749" spans="1:63"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row>
    <row r="750" spans="1:63"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row>
    <row r="751" spans="1:63"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row>
    <row r="752" spans="1:63"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row>
    <row r="753" spans="1:63"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row>
    <row r="754" spans="1:63"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row>
    <row r="755" spans="1:63"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row>
    <row r="756" spans="1:63"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row>
    <row r="757" spans="1:63"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row>
    <row r="758" spans="1:63"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row>
    <row r="759" spans="1:63"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row>
    <row r="760" spans="1:63"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row>
    <row r="761" spans="1:63"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row>
    <row r="762" spans="1:63"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row>
    <row r="763" spans="1:63"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row>
    <row r="764" spans="1:63"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row>
    <row r="765" spans="1:63"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row>
    <row r="766" spans="1:63"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row>
    <row r="767" spans="1:63"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row>
    <row r="768" spans="1:63"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row>
    <row r="769" spans="1:63"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row>
    <row r="770" spans="1:63"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row>
    <row r="771" spans="1:63"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row>
    <row r="772" spans="1:63"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row>
    <row r="773" spans="1:63"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row>
    <row r="774" spans="1:63"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row>
    <row r="775" spans="1:63"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row>
    <row r="776" spans="1:63"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row>
    <row r="777" spans="1:63"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row>
    <row r="778" spans="1:63"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row>
    <row r="779" spans="1:63"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row>
    <row r="780" spans="1:63"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row>
    <row r="781" spans="1:63"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row>
    <row r="782" spans="1:63"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row>
    <row r="783" spans="1:63"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row>
    <row r="784" spans="1:63"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row>
    <row r="785" spans="1:63"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row>
    <row r="786" spans="1:63"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row>
    <row r="787" spans="1:63"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row>
    <row r="788" spans="1:63"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row>
    <row r="789" spans="1:63"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row>
    <row r="790" spans="1:63"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row>
    <row r="791" spans="1:63"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row>
    <row r="792" spans="1:63"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row>
    <row r="793" spans="1:63"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row>
    <row r="794" spans="1:63"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row>
    <row r="795" spans="1:63"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row>
    <row r="796" spans="1:63"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row>
    <row r="797" spans="1:63"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row>
    <row r="798" spans="1:63"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row>
    <row r="799" spans="1:63"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row>
    <row r="800" spans="1:63"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row>
    <row r="801" spans="1:63"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row>
    <row r="802" spans="1:63"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row>
    <row r="803" spans="1:63"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row>
    <row r="804" spans="1:63"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row>
    <row r="805" spans="1:63"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row>
    <row r="806" spans="1:63"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row>
    <row r="807" spans="1:63"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row>
    <row r="808" spans="1:63"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row>
    <row r="809" spans="1:63"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row>
    <row r="810" spans="1:63"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row>
    <row r="811" spans="1:63"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row>
    <row r="812" spans="1:63"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row>
    <row r="813" spans="1:63"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row>
    <row r="814" spans="1:63"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row>
    <row r="815" spans="1:63"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row>
    <row r="816" spans="1:63"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row>
    <row r="817" spans="1:63"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row>
    <row r="818" spans="1:63"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row>
    <row r="819" spans="1:63"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row>
    <row r="820" spans="1:63"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row>
    <row r="821" spans="1:63"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row>
    <row r="822" spans="1:63"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row>
    <row r="823" spans="1:63"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row>
    <row r="824" spans="1:63"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row>
    <row r="825" spans="1:63"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row>
    <row r="826" spans="1:63"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row>
    <row r="827" spans="1:63"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row>
    <row r="828" spans="1:63"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row>
    <row r="829" spans="1:63"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row>
    <row r="830" spans="1:63"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row>
    <row r="831" spans="1:63"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row>
    <row r="832" spans="1:63"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row>
    <row r="833" spans="1:63"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row>
    <row r="834" spans="1:63"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row>
    <row r="835" spans="1:63"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row>
    <row r="836" spans="1:63"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row>
    <row r="837" spans="1:63"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row>
    <row r="838" spans="1:63"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row>
    <row r="839" spans="1:63"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row>
    <row r="840" spans="1:63"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row>
    <row r="841" spans="1:63"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row>
    <row r="842" spans="1:63"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row>
    <row r="843" spans="1:63"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row>
    <row r="844" spans="1:63"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row>
    <row r="845" spans="1:63"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row>
    <row r="846" spans="1:63"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row>
    <row r="847" spans="1:63"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row>
    <row r="848" spans="1:63"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row>
    <row r="849" spans="1:63"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row>
    <row r="850" spans="1:63"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row>
    <row r="851" spans="1:63"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row>
    <row r="852" spans="1:63"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row>
    <row r="853" spans="1:63"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row>
    <row r="854" spans="1:63"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row>
    <row r="855" spans="1:63"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row>
    <row r="856" spans="1:63"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row>
    <row r="857" spans="1:63"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row>
    <row r="858" spans="1:63"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row>
    <row r="859" spans="1:63"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row>
    <row r="860" spans="1:63"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row>
    <row r="861" spans="1:63"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row>
    <row r="862" spans="1:63"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row>
    <row r="863" spans="1:63"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row>
    <row r="864" spans="1:63"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row>
    <row r="865" spans="1:63"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row>
    <row r="866" spans="1:63"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row>
    <row r="867" spans="1:63"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row>
    <row r="868" spans="1:63"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row>
    <row r="869" spans="1:63"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row>
    <row r="870" spans="1:63"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row>
    <row r="871" spans="1:63"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row>
    <row r="872" spans="1:63"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row>
    <row r="873" spans="1:63"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row>
    <row r="874" spans="1:63"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row>
    <row r="875" spans="1:63"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row>
    <row r="876" spans="1:63"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row>
    <row r="877" spans="1:63"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row>
    <row r="878" spans="1:63"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row>
    <row r="879" spans="1:63"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row>
    <row r="880" spans="1:63"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row>
    <row r="881" spans="1:63"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row>
    <row r="882" spans="1:63"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row>
    <row r="883" spans="1:63"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row>
    <row r="884" spans="1:63"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row>
    <row r="885" spans="1:63"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row>
    <row r="886" spans="1:63"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row>
    <row r="887" spans="1:63"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row>
    <row r="888" spans="1:63"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row>
    <row r="889" spans="1:63"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row>
    <row r="890" spans="1:63"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row>
    <row r="891" spans="1:63"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row>
    <row r="892" spans="1:63"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row>
    <row r="893" spans="1:63"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row>
    <row r="894" spans="1:63"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row>
    <row r="895" spans="1:63"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row>
    <row r="896" spans="1:63"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row>
    <row r="897" spans="1:63"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row>
    <row r="898" spans="1:63"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row>
    <row r="899" spans="1:63"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row>
    <row r="900" spans="1:63"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row>
    <row r="901" spans="1:63"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row>
    <row r="902" spans="1:63"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row>
    <row r="903" spans="1:63"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row>
    <row r="904" spans="1:63"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row>
    <row r="905" spans="1:63"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row>
    <row r="906" spans="1:63"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row>
    <row r="907" spans="1:63"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row>
    <row r="908" spans="1:63"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row>
    <row r="909" spans="1:63"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row>
    <row r="910" spans="1:63"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row>
    <row r="911" spans="1:63"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row>
    <row r="912" spans="1:63"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row>
    <row r="913" spans="1:63"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row>
    <row r="914" spans="1:63"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row>
    <row r="915" spans="1:63"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row>
    <row r="916" spans="1:63"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row>
    <row r="917" spans="1:63"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row>
    <row r="918" spans="1:63"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row>
    <row r="919" spans="1:63"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row>
    <row r="920" spans="1:63"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row>
    <row r="921" spans="1:63"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row>
    <row r="922" spans="1:63"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row>
    <row r="923" spans="1:63"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row>
    <row r="924" spans="1:63"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row>
    <row r="925" spans="1:63"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row>
    <row r="926" spans="1:63"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row>
    <row r="927" spans="1:63"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row>
    <row r="928" spans="1:63"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row>
    <row r="929" spans="1:63"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row>
    <row r="930" spans="1:63"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row>
    <row r="931" spans="1:63"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row>
    <row r="932" spans="1:63"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row>
    <row r="933" spans="1:63"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row>
    <row r="934" spans="1:63"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row>
    <row r="935" spans="1:63"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row>
    <row r="936" spans="1:63"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row>
    <row r="937" spans="1:63"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row>
    <row r="938" spans="1:63"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row>
    <row r="939" spans="1:63"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row>
    <row r="940" spans="1:63" ht="12.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row>
    <row r="941" spans="1:63" ht="12.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row>
    <row r="942" spans="1:63" ht="12.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row>
    <row r="943" spans="1:63" ht="12.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row>
    <row r="944" spans="1:63" ht="12.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row>
    <row r="945" spans="1:63" ht="12.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row>
    <row r="946" spans="1:63" ht="12.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row>
    <row r="947" spans="1:63" ht="12.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row>
    <row r="948" spans="1:63" ht="12.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row>
    <row r="949" spans="1:63" ht="12.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row>
    <row r="950" spans="1:63" ht="12.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row>
    <row r="951" spans="1:63" ht="12.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row>
    <row r="952" spans="1:63" ht="12.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row>
    <row r="953" spans="1:63" ht="12.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row>
    <row r="954" spans="1:63" ht="12.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row>
    <row r="955" spans="1:63" ht="12.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row>
    <row r="956" spans="1:63" ht="12.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row>
    <row r="957" spans="1:63" ht="12.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row>
    <row r="958" spans="1:63" ht="12.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row>
    <row r="959" spans="1:63" ht="12.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row>
    <row r="960" spans="1:63" ht="12.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row>
    <row r="961" spans="1:63" ht="12.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row>
    <row r="962" spans="1:63" ht="12.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row>
    <row r="963" spans="1:63" ht="12.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row>
    <row r="964" spans="1:63" ht="12.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row>
    <row r="965" spans="1:63" ht="12.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row>
    <row r="966" spans="1:63" ht="12.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row>
    <row r="967" spans="1:63" ht="12.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row>
    <row r="968" spans="1:63" ht="12.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row>
    <row r="969" spans="1:63" ht="12.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row>
    <row r="970" spans="1:63" ht="12.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row>
    <row r="971" spans="1:63" ht="12.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row>
    <row r="972" spans="1:63" ht="12.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row>
    <row r="973" spans="1:63" ht="12.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row>
    <row r="974" spans="1:63" ht="12.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row>
    <row r="975" spans="1:63" ht="12.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row>
    <row r="976" spans="1:63" ht="12.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row>
    <row r="977" spans="1:63" ht="12.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row>
    <row r="978" spans="1:63" ht="12.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row>
    <row r="979" spans="1:63" ht="12.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row>
    <row r="980" spans="1:63" ht="12.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row>
    <row r="981" spans="1:63" ht="12.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row>
    <row r="982" spans="1:63" ht="12.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row>
    <row r="983" spans="1:63" ht="12.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row>
    <row r="984" spans="1:63" ht="12.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row>
    <row r="985" spans="1:63" ht="12.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row>
    <row r="986" spans="1:63" ht="12.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row>
    <row r="987" spans="1:63" ht="12.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row>
    <row r="988" spans="1:63" ht="12.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row>
    <row r="989" spans="1:63" ht="12.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row>
    <row r="990" spans="1:63" ht="12.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row>
    <row r="991" spans="1:63" ht="12.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row>
    <row r="992" spans="1:63" ht="12.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row>
    <row r="993" spans="1:63" ht="12.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row>
    <row r="994" spans="1:63" ht="12.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row>
    <row r="995" spans="1:63" ht="12.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row>
    <row r="996" spans="1:63" ht="12.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row>
    <row r="997" spans="1:63" ht="12.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row>
  </sheetData>
  <hyperlinks>
    <hyperlink ref="A2"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D17" r:id="rId14"/>
    <hyperlink ref="A19" r:id="rId15"/>
    <hyperlink ref="A20" r:id="rId16"/>
    <hyperlink ref="A21" r:id="rId17"/>
    <hyperlink ref="A22" r:id="rId18"/>
    <hyperlink ref="A24" r:id="rId19"/>
    <hyperlink ref="A25" r:id="rId20"/>
    <hyperlink ref="A26" r:id="rId21"/>
    <hyperlink ref="A27" r:id="rId22"/>
    <hyperlink ref="A28" r:id="rId23"/>
    <hyperlink ref="A29" r:id="rId24"/>
    <hyperlink ref="A30" r:id="rId25"/>
    <hyperlink ref="A31" r:id="rId26"/>
    <hyperlink ref="A32" r:id="rId27"/>
    <hyperlink ref="A33" r:id="rId28"/>
    <hyperlink ref="A34" r:id="rId29"/>
    <hyperlink ref="A35" r:id="rId30"/>
    <hyperlink ref="A36" r:id="rId31"/>
    <hyperlink ref="A37" r:id="rId32"/>
    <hyperlink ref="A38" r:id="rId33"/>
    <hyperlink ref="A39" r:id="rId34"/>
    <hyperlink ref="A40" r:id="rId35"/>
    <hyperlink ref="A41" r:id="rId36"/>
    <hyperlink ref="A42" r:id="rId37"/>
    <hyperlink ref="A43" r:id="rId38"/>
    <hyperlink ref="A44" r:id="rId39"/>
    <hyperlink ref="A45" r:id="rId40"/>
    <hyperlink ref="A46" r:id="rId41"/>
    <hyperlink ref="A47" r:id="rId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L1000"/>
  <sheetViews>
    <sheetView tabSelected="1" workbookViewId="0">
      <selection activeCell="M1" sqref="M1"/>
    </sheetView>
  </sheetViews>
  <sheetFormatPr defaultColWidth="12.5703125" defaultRowHeight="15.75" customHeight="1"/>
  <cols>
    <col min="11" max="11" width="28.7109375" customWidth="1"/>
    <col min="12" max="12" width="42.140625" customWidth="1"/>
    <col min="16" max="16" width="19.28515625" customWidth="1"/>
  </cols>
  <sheetData>
    <row r="1" spans="1:90">
      <c r="A1" s="38" t="s">
        <v>424</v>
      </c>
      <c r="B1" s="39" t="s">
        <v>0</v>
      </c>
      <c r="C1" s="39" t="s">
        <v>1</v>
      </c>
      <c r="D1" s="40" t="s">
        <v>292</v>
      </c>
      <c r="E1" s="39" t="s">
        <v>3</v>
      </c>
      <c r="F1" s="39" t="str">
        <f>P1</f>
        <v>Mã barcode tự phát sinh từ Order</v>
      </c>
      <c r="G1" s="39" t="s">
        <v>4</v>
      </c>
      <c r="H1" s="41" t="s">
        <v>293</v>
      </c>
      <c r="I1" s="39" t="s">
        <v>294</v>
      </c>
      <c r="J1" s="42" t="s">
        <v>295</v>
      </c>
      <c r="K1" s="39" t="s">
        <v>296</v>
      </c>
      <c r="L1" s="40" t="s">
        <v>297</v>
      </c>
      <c r="M1" s="43" t="s">
        <v>9</v>
      </c>
      <c r="N1" s="44" t="s">
        <v>298</v>
      </c>
      <c r="O1" s="39" t="s">
        <v>11</v>
      </c>
      <c r="P1" s="39" t="s">
        <v>299</v>
      </c>
      <c r="Q1" s="44" t="s">
        <v>300</v>
      </c>
      <c r="R1" s="39" t="s">
        <v>13</v>
      </c>
      <c r="S1" s="39" t="s">
        <v>14</v>
      </c>
      <c r="T1" s="39" t="s">
        <v>15</v>
      </c>
      <c r="U1" s="39" t="s">
        <v>16</v>
      </c>
      <c r="V1" s="39" t="s">
        <v>17</v>
      </c>
      <c r="W1" s="39" t="s">
        <v>18</v>
      </c>
      <c r="X1" s="39" t="s">
        <v>19</v>
      </c>
      <c r="Y1" s="39" t="s">
        <v>20</v>
      </c>
      <c r="Z1" s="45" t="s">
        <v>21</v>
      </c>
      <c r="AA1" s="39" t="s">
        <v>22</v>
      </c>
      <c r="AB1" s="39" t="s">
        <v>301</v>
      </c>
      <c r="AC1" s="39" t="s">
        <v>24</v>
      </c>
      <c r="AD1" s="39" t="s">
        <v>25</v>
      </c>
      <c r="AE1" s="39" t="s">
        <v>26</v>
      </c>
      <c r="AF1" s="39" t="s">
        <v>27</v>
      </c>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row>
    <row r="2" spans="1:90">
      <c r="A2" s="46" t="str">
        <f t="shared" ref="A2:A7" si="0">P2</f>
        <v>3805564513-1/3</v>
      </c>
      <c r="B2" s="47" t="s">
        <v>302</v>
      </c>
      <c r="C2" s="46" t="s">
        <v>303</v>
      </c>
      <c r="D2" s="48" t="s">
        <v>304</v>
      </c>
      <c r="E2" s="38"/>
      <c r="F2" s="46" t="str">
        <f t="shared" ref="F2:F7" si="1">A2</f>
        <v>3805564513-1/3</v>
      </c>
      <c r="G2" s="38"/>
      <c r="H2" s="47" t="s">
        <v>305</v>
      </c>
      <c r="I2" s="63" t="s">
        <v>306</v>
      </c>
      <c r="J2" s="49" t="s">
        <v>307</v>
      </c>
      <c r="K2" s="46" t="s">
        <v>308</v>
      </c>
      <c r="L2" s="50" t="str">
        <f t="shared" ref="L2:L7" si="2">J2&amp;"-"&amp;N2&amp;"-"&amp;M2&amp;"-"&amp;RIGHT(O2,LEN(O2)-1)&amp;"-"&amp;COUNTIF($O$2:O2,O2)&amp;"/"&amp;COUNTIF($O$2:$O1000,O2)</f>
        <v>BCNL-IN-Đen-Adult M-3805564513-1/3</v>
      </c>
      <c r="M2" s="49" t="s">
        <v>309</v>
      </c>
      <c r="N2" s="51" t="s">
        <v>310</v>
      </c>
      <c r="O2" s="46" t="s">
        <v>311</v>
      </c>
      <c r="P2" s="52" t="str">
        <f t="shared" ref="P2:P7" si="3">RIGHT(O2,LEN(O2)-1)&amp;"-"&amp;COUNTIF($O$2:O2,O2)&amp;"/"&amp;COUNTIF($O$2:$O1000,O2)</f>
        <v>3805564513-1/3</v>
      </c>
      <c r="Q2" s="51">
        <v>1</v>
      </c>
      <c r="R2" s="46" t="s">
        <v>312</v>
      </c>
      <c r="S2" s="46" t="s">
        <v>313</v>
      </c>
      <c r="T2" s="46" t="s">
        <v>314</v>
      </c>
      <c r="U2" s="46" t="s">
        <v>315</v>
      </c>
      <c r="V2" s="51" t="s">
        <v>316</v>
      </c>
      <c r="W2" s="46" t="s">
        <v>56</v>
      </c>
      <c r="X2" s="38"/>
      <c r="Y2" s="38"/>
      <c r="Z2" s="51" t="s">
        <v>317</v>
      </c>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row>
    <row r="3" spans="1:90">
      <c r="A3" s="46" t="str">
        <f t="shared" si="0"/>
        <v>3805564513-2/3</v>
      </c>
      <c r="B3" s="47" t="s">
        <v>302</v>
      </c>
      <c r="C3" s="46" t="s">
        <v>318</v>
      </c>
      <c r="D3" s="53" t="s">
        <v>304</v>
      </c>
      <c r="E3" s="38"/>
      <c r="F3" s="46" t="str">
        <f t="shared" si="1"/>
        <v>3805564513-2/3</v>
      </c>
      <c r="G3" s="38"/>
      <c r="H3" s="47" t="s">
        <v>319</v>
      </c>
      <c r="I3" s="64"/>
      <c r="J3" s="49" t="s">
        <v>307</v>
      </c>
      <c r="K3" s="46" t="s">
        <v>308</v>
      </c>
      <c r="L3" s="50" t="str">
        <f t="shared" si="2"/>
        <v>BCNL-IN-Đen-Adult M-3805564513-2/3</v>
      </c>
      <c r="M3" s="49" t="s">
        <v>309</v>
      </c>
      <c r="N3" s="51" t="s">
        <v>310</v>
      </c>
      <c r="O3" s="46" t="s">
        <v>311</v>
      </c>
      <c r="P3" s="52" t="str">
        <f t="shared" si="3"/>
        <v>3805564513-2/3</v>
      </c>
      <c r="Q3" s="51">
        <v>1</v>
      </c>
      <c r="R3" s="46" t="s">
        <v>312</v>
      </c>
      <c r="S3" s="46" t="s">
        <v>313</v>
      </c>
      <c r="T3" s="46" t="s">
        <v>314</v>
      </c>
      <c r="U3" s="46" t="s">
        <v>315</v>
      </c>
      <c r="V3" s="51" t="s">
        <v>316</v>
      </c>
      <c r="W3" s="46" t="s">
        <v>56</v>
      </c>
      <c r="X3" s="38"/>
      <c r="Y3" s="38"/>
      <c r="Z3" s="51" t="s">
        <v>317</v>
      </c>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row>
    <row r="4" spans="1:90">
      <c r="A4" s="46" t="str">
        <f t="shared" si="0"/>
        <v>3805564513-3/3</v>
      </c>
      <c r="B4" s="47" t="s">
        <v>302</v>
      </c>
      <c r="C4" s="46" t="s">
        <v>320</v>
      </c>
      <c r="D4" s="53" t="s">
        <v>304</v>
      </c>
      <c r="E4" s="38"/>
      <c r="F4" s="46" t="str">
        <f t="shared" si="1"/>
        <v>3805564513-3/3</v>
      </c>
      <c r="G4" s="38"/>
      <c r="H4" s="47" t="s">
        <v>321</v>
      </c>
      <c r="I4" s="64"/>
      <c r="J4" s="49" t="s">
        <v>307</v>
      </c>
      <c r="K4" s="46" t="s">
        <v>308</v>
      </c>
      <c r="L4" s="50" t="str">
        <f t="shared" si="2"/>
        <v>BCNL-IN-Đen-Adult L-3805564513-3/3</v>
      </c>
      <c r="M4" s="49" t="s">
        <v>322</v>
      </c>
      <c r="N4" s="51" t="s">
        <v>310</v>
      </c>
      <c r="O4" s="46" t="s">
        <v>311</v>
      </c>
      <c r="P4" s="52" t="str">
        <f t="shared" si="3"/>
        <v>3805564513-3/3</v>
      </c>
      <c r="Q4" s="51">
        <v>1</v>
      </c>
      <c r="R4" s="46" t="s">
        <v>312</v>
      </c>
      <c r="S4" s="46" t="s">
        <v>313</v>
      </c>
      <c r="T4" s="46" t="s">
        <v>314</v>
      </c>
      <c r="U4" s="46" t="s">
        <v>315</v>
      </c>
      <c r="V4" s="51" t="s">
        <v>316</v>
      </c>
      <c r="W4" s="46" t="s">
        <v>56</v>
      </c>
      <c r="X4" s="38"/>
      <c r="Y4" s="38"/>
      <c r="Z4" s="51" t="s">
        <v>317</v>
      </c>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row>
    <row r="5" spans="1:90">
      <c r="A5" s="46" t="str">
        <f t="shared" si="0"/>
        <v>3806120975-1/2</v>
      </c>
      <c r="B5" s="47" t="s">
        <v>323</v>
      </c>
      <c r="C5" s="46" t="s">
        <v>324</v>
      </c>
      <c r="D5" s="53" t="s">
        <v>304</v>
      </c>
      <c r="E5" s="38"/>
      <c r="F5" s="46" t="str">
        <f t="shared" si="1"/>
        <v>3806120975-1/2</v>
      </c>
      <c r="G5" s="38"/>
      <c r="H5" s="47" t="s">
        <v>325</v>
      </c>
      <c r="I5" s="63" t="s">
        <v>326</v>
      </c>
      <c r="J5" s="49" t="s">
        <v>327</v>
      </c>
      <c r="K5" s="46" t="s">
        <v>328</v>
      </c>
      <c r="L5" s="50" t="str">
        <f t="shared" si="2"/>
        <v>BCKID-IN-Đen-6Y-3806120975-1/2</v>
      </c>
      <c r="M5" s="49" t="s">
        <v>329</v>
      </c>
      <c r="N5" s="51" t="s">
        <v>310</v>
      </c>
      <c r="O5" s="46" t="s">
        <v>330</v>
      </c>
      <c r="P5" s="52" t="str">
        <f t="shared" si="3"/>
        <v>3806120975-1/2</v>
      </c>
      <c r="Q5" s="51">
        <v>1</v>
      </c>
      <c r="R5" s="46" t="s">
        <v>331</v>
      </c>
      <c r="S5" s="46" t="s">
        <v>332</v>
      </c>
      <c r="T5" s="38"/>
      <c r="U5" s="46" t="s">
        <v>333</v>
      </c>
      <c r="V5" s="51" t="s">
        <v>334</v>
      </c>
      <c r="W5" s="46" t="s">
        <v>56</v>
      </c>
      <c r="X5" s="38"/>
      <c r="Y5" s="38"/>
      <c r="Z5" s="51">
        <v>24401</v>
      </c>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row>
    <row r="6" spans="1:90">
      <c r="A6" s="46" t="str">
        <f t="shared" si="0"/>
        <v>3806120975-2/2</v>
      </c>
      <c r="B6" s="47" t="s">
        <v>323</v>
      </c>
      <c r="C6" s="46" t="s">
        <v>335</v>
      </c>
      <c r="D6" s="53" t="s">
        <v>304</v>
      </c>
      <c r="E6" s="38"/>
      <c r="F6" s="46" t="str">
        <f t="shared" si="1"/>
        <v>3806120975-2/2</v>
      </c>
      <c r="G6" s="38"/>
      <c r="H6" s="47" t="s">
        <v>336</v>
      </c>
      <c r="I6" s="64"/>
      <c r="J6" s="49" t="s">
        <v>327</v>
      </c>
      <c r="K6" s="46" t="s">
        <v>328</v>
      </c>
      <c r="L6" s="50" t="str">
        <f t="shared" si="2"/>
        <v>BCKID-IN-Đen-Youth L-3806120975-2/2</v>
      </c>
      <c r="M6" s="49" t="s">
        <v>86</v>
      </c>
      <c r="N6" s="51" t="s">
        <v>310</v>
      </c>
      <c r="O6" s="46" t="s">
        <v>330</v>
      </c>
      <c r="P6" s="52" t="str">
        <f t="shared" si="3"/>
        <v>3806120975-2/2</v>
      </c>
      <c r="Q6" s="51">
        <v>1</v>
      </c>
      <c r="R6" s="46" t="s">
        <v>331</v>
      </c>
      <c r="S6" s="46" t="s">
        <v>332</v>
      </c>
      <c r="T6" s="38"/>
      <c r="U6" s="46" t="s">
        <v>333</v>
      </c>
      <c r="V6" s="51" t="s">
        <v>334</v>
      </c>
      <c r="W6" s="46" t="s">
        <v>56</v>
      </c>
      <c r="X6" s="38"/>
      <c r="Y6" s="38"/>
      <c r="Z6" s="51">
        <v>24401</v>
      </c>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row>
    <row r="7" spans="1:90">
      <c r="A7" s="46" t="str">
        <f t="shared" si="0"/>
        <v>3806367607-1/1</v>
      </c>
      <c r="B7" s="47" t="s">
        <v>337</v>
      </c>
      <c r="C7" s="46" t="s">
        <v>338</v>
      </c>
      <c r="D7" s="53" t="s">
        <v>304</v>
      </c>
      <c r="E7" s="38"/>
      <c r="F7" s="46" t="str">
        <f t="shared" si="1"/>
        <v>3806367607-1/1</v>
      </c>
      <c r="G7" s="38"/>
      <c r="H7" s="47" t="s">
        <v>339</v>
      </c>
      <c r="I7" s="64"/>
      <c r="J7" s="49" t="s">
        <v>307</v>
      </c>
      <c r="K7" s="46" t="s">
        <v>340</v>
      </c>
      <c r="L7" s="50" t="str">
        <f t="shared" si="2"/>
        <v>BCNL-IN-Đen-Adult XS-3806367607-1/1</v>
      </c>
      <c r="M7" s="49" t="s">
        <v>341</v>
      </c>
      <c r="N7" s="51" t="s">
        <v>310</v>
      </c>
      <c r="O7" s="46" t="s">
        <v>342</v>
      </c>
      <c r="P7" s="52" t="str">
        <f t="shared" si="3"/>
        <v>3806367607-1/1</v>
      </c>
      <c r="Q7" s="51">
        <v>1</v>
      </c>
      <c r="R7" s="46" t="s">
        <v>343</v>
      </c>
      <c r="S7" s="46" t="s">
        <v>344</v>
      </c>
      <c r="T7" s="38"/>
      <c r="U7" s="46" t="s">
        <v>345</v>
      </c>
      <c r="V7" s="51" t="s">
        <v>346</v>
      </c>
      <c r="W7" s="46" t="s">
        <v>56</v>
      </c>
      <c r="X7" s="38"/>
      <c r="Y7" s="38"/>
      <c r="Z7" s="51">
        <v>98843</v>
      </c>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row>
    <row r="8" spans="1:90">
      <c r="A8" s="38"/>
      <c r="B8" s="38"/>
      <c r="C8" s="38"/>
      <c r="D8" s="53" t="s">
        <v>304</v>
      </c>
      <c r="E8" s="38"/>
      <c r="F8" s="38"/>
      <c r="G8" s="38"/>
      <c r="H8" s="38"/>
      <c r="I8" s="38"/>
      <c r="J8" s="54"/>
      <c r="K8" s="38"/>
      <c r="L8" s="54"/>
      <c r="M8" s="54"/>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row>
    <row r="9" spans="1:90">
      <c r="A9" s="46" t="str">
        <f t="shared" ref="A9:A15" si="4">P9</f>
        <v>807107591-pim-1/1</v>
      </c>
      <c r="B9" s="55" t="s">
        <v>347</v>
      </c>
      <c r="C9" s="38"/>
      <c r="D9" s="53" t="s">
        <v>304</v>
      </c>
      <c r="E9" s="38"/>
      <c r="F9" s="46" t="str">
        <f t="shared" ref="F9:F15" si="5">A9</f>
        <v>807107591-pim-1/1</v>
      </c>
      <c r="G9" s="38"/>
      <c r="H9" s="56" t="s">
        <v>348</v>
      </c>
      <c r="I9" s="46" t="s">
        <v>349</v>
      </c>
      <c r="J9" s="50" t="s">
        <v>350</v>
      </c>
      <c r="K9" s="46" t="s">
        <v>351</v>
      </c>
      <c r="L9" s="50" t="str">
        <f t="shared" ref="L9:L15" si="6">J9&amp;"-"&amp;N9&amp;"-"&amp;M9&amp;"-"&amp;RIGHT(O9,LEN(O9)-1)&amp;"-"&amp;COUNTIF($O$2:O9,O9)&amp;"/"&amp;COUNTIF($O$2:$O1000,O9)</f>
        <v>BRNL--Adult M-807107591-pim-1/1</v>
      </c>
      <c r="M9" s="50" t="s">
        <v>309</v>
      </c>
      <c r="N9" s="38"/>
      <c r="O9" s="46" t="s">
        <v>352</v>
      </c>
      <c r="P9" s="52" t="str">
        <f t="shared" ref="P9:P15" si="7">RIGHT(O9,LEN(O9)-1)&amp;"-"&amp;COUNTIF($O$2:O9,O9)&amp;"/"&amp;COUNTIF($O$2:$O1000,O9)</f>
        <v>807107591-pim-1/1</v>
      </c>
      <c r="Q9" s="51">
        <v>1</v>
      </c>
      <c r="R9" s="46" t="s">
        <v>353</v>
      </c>
      <c r="S9" s="46" t="s">
        <v>354</v>
      </c>
      <c r="T9" s="38"/>
      <c r="U9" s="46" t="s">
        <v>355</v>
      </c>
      <c r="V9" s="46" t="s">
        <v>69</v>
      </c>
      <c r="W9" s="46" t="s">
        <v>56</v>
      </c>
      <c r="X9" s="38"/>
      <c r="Y9" s="38"/>
      <c r="Z9" s="57">
        <v>32092</v>
      </c>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row>
    <row r="10" spans="1:90">
      <c r="A10" s="46" t="str">
        <f t="shared" si="4"/>
        <v>806122731-pim-1/2</v>
      </c>
      <c r="B10" s="47" t="s">
        <v>356</v>
      </c>
      <c r="C10" s="38"/>
      <c r="D10" s="53" t="s">
        <v>304</v>
      </c>
      <c r="E10" s="38"/>
      <c r="F10" s="46" t="str">
        <f t="shared" si="5"/>
        <v>806122731-pim-1/2</v>
      </c>
      <c r="G10" s="38"/>
      <c r="H10" s="56" t="s">
        <v>357</v>
      </c>
      <c r="I10" s="63" t="s">
        <v>358</v>
      </c>
      <c r="J10" s="50" t="s">
        <v>350</v>
      </c>
      <c r="K10" s="46" t="s">
        <v>359</v>
      </c>
      <c r="L10" s="50" t="str">
        <f t="shared" si="6"/>
        <v>BRNL--2T-806122731-pim-1/2</v>
      </c>
      <c r="M10" s="50" t="s">
        <v>235</v>
      </c>
      <c r="N10" s="38"/>
      <c r="O10" s="46" t="s">
        <v>360</v>
      </c>
      <c r="P10" s="52" t="str">
        <f t="shared" si="7"/>
        <v>806122731-pim-1/2</v>
      </c>
      <c r="Q10" s="51">
        <v>1</v>
      </c>
      <c r="R10" s="46" t="s">
        <v>361</v>
      </c>
      <c r="S10" s="46" t="s">
        <v>362</v>
      </c>
      <c r="T10" s="38"/>
      <c r="U10" s="46" t="s">
        <v>363</v>
      </c>
      <c r="V10" s="46" t="s">
        <v>364</v>
      </c>
      <c r="W10" s="46" t="s">
        <v>56</v>
      </c>
      <c r="X10" s="38"/>
      <c r="Y10" s="38"/>
      <c r="Z10" s="57">
        <v>44026</v>
      </c>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row>
    <row r="11" spans="1:90">
      <c r="A11" s="46" t="str">
        <f t="shared" si="4"/>
        <v>806122731-pim-2/2</v>
      </c>
      <c r="B11" s="47" t="s">
        <v>356</v>
      </c>
      <c r="C11" s="38"/>
      <c r="D11" s="53" t="s">
        <v>304</v>
      </c>
      <c r="E11" s="38"/>
      <c r="F11" s="46" t="str">
        <f t="shared" si="5"/>
        <v>806122731-pim-2/2</v>
      </c>
      <c r="G11" s="38"/>
      <c r="H11" s="56" t="s">
        <v>365</v>
      </c>
      <c r="I11" s="64"/>
      <c r="J11" s="50" t="s">
        <v>350</v>
      </c>
      <c r="K11" s="46" t="s">
        <v>366</v>
      </c>
      <c r="L11" s="50" t="str">
        <f t="shared" si="6"/>
        <v>BRNL--5T-806122731-pim-2/2</v>
      </c>
      <c r="M11" s="50" t="s">
        <v>83</v>
      </c>
      <c r="N11" s="38"/>
      <c r="O11" s="46" t="s">
        <v>360</v>
      </c>
      <c r="P11" s="52" t="str">
        <f t="shared" si="7"/>
        <v>806122731-pim-2/2</v>
      </c>
      <c r="Q11" s="51">
        <v>1</v>
      </c>
      <c r="R11" s="46" t="s">
        <v>361</v>
      </c>
      <c r="S11" s="46" t="s">
        <v>362</v>
      </c>
      <c r="T11" s="38"/>
      <c r="U11" s="46" t="s">
        <v>363</v>
      </c>
      <c r="V11" s="46" t="s">
        <v>364</v>
      </c>
      <c r="W11" s="46" t="s">
        <v>56</v>
      </c>
      <c r="X11" s="38"/>
      <c r="Y11" s="38"/>
      <c r="Z11" s="57">
        <v>44026</v>
      </c>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row>
    <row r="12" spans="1:90">
      <c r="A12" s="46" t="str">
        <f t="shared" si="4"/>
        <v>803059730-3801553670-pim-1/2</v>
      </c>
      <c r="B12" s="47" t="s">
        <v>367</v>
      </c>
      <c r="C12" s="38"/>
      <c r="D12" s="53" t="s">
        <v>304</v>
      </c>
      <c r="E12" s="38"/>
      <c r="F12" s="46" t="str">
        <f t="shared" si="5"/>
        <v>803059730-3801553670-pim-1/2</v>
      </c>
      <c r="G12" s="38"/>
      <c r="H12" s="56" t="s">
        <v>368</v>
      </c>
      <c r="I12" s="64"/>
      <c r="J12" s="50" t="s">
        <v>307</v>
      </c>
      <c r="K12" s="46" t="s">
        <v>369</v>
      </c>
      <c r="L12" s="50" t="str">
        <f t="shared" si="6"/>
        <v>BCNL-IN-Đen-Adult XL-803059730-3801553670-pim-1/2</v>
      </c>
      <c r="M12" s="50" t="s">
        <v>370</v>
      </c>
      <c r="N12" s="46" t="s">
        <v>310</v>
      </c>
      <c r="O12" s="46" t="s">
        <v>371</v>
      </c>
      <c r="P12" s="52" t="str">
        <f t="shared" si="7"/>
        <v>803059730-3801553670-pim-1/2</v>
      </c>
      <c r="Q12" s="51">
        <v>1</v>
      </c>
      <c r="R12" s="46" t="s">
        <v>372</v>
      </c>
      <c r="S12" s="46" t="s">
        <v>373</v>
      </c>
      <c r="T12" s="38"/>
      <c r="U12" s="46" t="s">
        <v>374</v>
      </c>
      <c r="V12" s="46" t="s">
        <v>375</v>
      </c>
      <c r="W12" s="46" t="s">
        <v>56</v>
      </c>
      <c r="X12" s="38"/>
      <c r="Y12" s="38"/>
      <c r="Z12" s="46" t="s">
        <v>376</v>
      </c>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row>
    <row r="13" spans="1:90">
      <c r="A13" s="46" t="str">
        <f t="shared" si="4"/>
        <v>803059730-3801553670-pim-2/2</v>
      </c>
      <c r="B13" s="47" t="s">
        <v>367</v>
      </c>
      <c r="C13" s="38"/>
      <c r="D13" s="53" t="s">
        <v>304</v>
      </c>
      <c r="E13" s="38"/>
      <c r="F13" s="46" t="str">
        <f t="shared" si="5"/>
        <v>803059730-3801553670-pim-2/2</v>
      </c>
      <c r="G13" s="38"/>
      <c r="H13" s="47" t="s">
        <v>377</v>
      </c>
      <c r="I13" s="64"/>
      <c r="J13" s="50" t="s">
        <v>307</v>
      </c>
      <c r="K13" s="46" t="s">
        <v>378</v>
      </c>
      <c r="L13" s="50" t="str">
        <f t="shared" si="6"/>
        <v>BCNL-IN-Đen-Adult 5XL-803059730-3801553670-pim-2/2</v>
      </c>
      <c r="M13" s="50" t="s">
        <v>379</v>
      </c>
      <c r="N13" s="46" t="s">
        <v>310</v>
      </c>
      <c r="O13" s="46" t="s">
        <v>371</v>
      </c>
      <c r="P13" s="52" t="str">
        <f t="shared" si="7"/>
        <v>803059730-3801553670-pim-2/2</v>
      </c>
      <c r="Q13" s="51">
        <v>1</v>
      </c>
      <c r="R13" s="46" t="s">
        <v>372</v>
      </c>
      <c r="S13" s="46" t="s">
        <v>373</v>
      </c>
      <c r="T13" s="38"/>
      <c r="U13" s="46" t="s">
        <v>374</v>
      </c>
      <c r="V13" s="46" t="s">
        <v>375</v>
      </c>
      <c r="W13" s="46" t="s">
        <v>56</v>
      </c>
      <c r="X13" s="38"/>
      <c r="Y13" s="38"/>
      <c r="Z13" s="46" t="s">
        <v>376</v>
      </c>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row>
    <row r="14" spans="1:90">
      <c r="A14" s="46" t="str">
        <f t="shared" si="4"/>
        <v>804045662-con-1/1</v>
      </c>
      <c r="B14" s="47" t="s">
        <v>380</v>
      </c>
      <c r="C14" s="38"/>
      <c r="D14" s="53" t="s">
        <v>304</v>
      </c>
      <c r="E14" s="38"/>
      <c r="F14" s="46" t="str">
        <f t="shared" si="5"/>
        <v>804045662-con-1/1</v>
      </c>
      <c r="G14" s="38"/>
      <c r="H14" s="47" t="s">
        <v>381</v>
      </c>
      <c r="I14" s="64"/>
      <c r="J14" s="50" t="s">
        <v>307</v>
      </c>
      <c r="K14" s="46" t="s">
        <v>382</v>
      </c>
      <c r="L14" s="50" t="str">
        <f t="shared" si="6"/>
        <v>BCNL-IN-Trắng-Adult XS-804045662-con-1/1</v>
      </c>
      <c r="M14" s="50" t="s">
        <v>341</v>
      </c>
      <c r="N14" s="46" t="s">
        <v>383</v>
      </c>
      <c r="O14" s="46" t="s">
        <v>384</v>
      </c>
      <c r="P14" s="52" t="str">
        <f t="shared" si="7"/>
        <v>804045662-con-1/1</v>
      </c>
      <c r="Q14" s="51">
        <v>1</v>
      </c>
      <c r="R14" s="46" t="s">
        <v>385</v>
      </c>
      <c r="S14" s="46" t="s">
        <v>386</v>
      </c>
      <c r="T14" s="38"/>
      <c r="U14" s="46" t="s">
        <v>387</v>
      </c>
      <c r="V14" s="46" t="s">
        <v>388</v>
      </c>
      <c r="W14" s="46" t="s">
        <v>56</v>
      </c>
      <c r="X14" s="38"/>
      <c r="Y14" s="38"/>
      <c r="Z14" s="57">
        <v>23454</v>
      </c>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row>
    <row r="15" spans="1:90">
      <c r="A15" s="46" t="str">
        <f t="shared" si="4"/>
        <v>792303404rs-con-1/1</v>
      </c>
      <c r="B15" s="47" t="s">
        <v>389</v>
      </c>
      <c r="C15" s="38"/>
      <c r="D15" s="53" t="s">
        <v>304</v>
      </c>
      <c r="E15" s="38"/>
      <c r="F15" s="46" t="str">
        <f t="shared" si="5"/>
        <v>792303404rs-con-1/1</v>
      </c>
      <c r="G15" s="38"/>
      <c r="H15" s="47" t="s">
        <v>390</v>
      </c>
      <c r="I15" s="46" t="s">
        <v>349</v>
      </c>
      <c r="J15" s="50" t="s">
        <v>391</v>
      </c>
      <c r="K15" s="46" t="s">
        <v>392</v>
      </c>
      <c r="L15" s="50" t="str">
        <f t="shared" si="6"/>
        <v>BRKID--18M-792303404rs-con-1/1</v>
      </c>
      <c r="M15" s="50" t="s">
        <v>393</v>
      </c>
      <c r="N15" s="38"/>
      <c r="O15" s="46" t="s">
        <v>394</v>
      </c>
      <c r="P15" s="52" t="str">
        <f t="shared" si="7"/>
        <v>792303404rs-con-1/1</v>
      </c>
      <c r="Q15" s="51">
        <v>1</v>
      </c>
      <c r="R15" s="46" t="s">
        <v>395</v>
      </c>
      <c r="S15" s="46" t="s">
        <v>396</v>
      </c>
      <c r="T15" s="38"/>
      <c r="U15" s="46" t="s">
        <v>397</v>
      </c>
      <c r="V15" s="46" t="s">
        <v>398</v>
      </c>
      <c r="W15" s="46" t="s">
        <v>56</v>
      </c>
      <c r="X15" s="38"/>
      <c r="Y15" s="38"/>
      <c r="Z15" s="58" t="s">
        <v>399</v>
      </c>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row>
    <row r="16" spans="1:90">
      <c r="A16" s="38"/>
      <c r="B16" s="38"/>
      <c r="C16" s="38"/>
      <c r="D16" s="53" t="s">
        <v>304</v>
      </c>
      <c r="E16" s="38"/>
      <c r="F16" s="38"/>
      <c r="G16" s="38"/>
      <c r="H16" s="38"/>
      <c r="I16" s="38"/>
      <c r="J16" s="54"/>
      <c r="K16" s="38"/>
      <c r="L16" s="54"/>
      <c r="M16" s="54"/>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row>
    <row r="17" spans="1:90">
      <c r="A17" s="46" t="str">
        <f t="shared" ref="A17:A18" si="8">P17</f>
        <v>3806456903-1/2</v>
      </c>
      <c r="B17" s="47" t="s">
        <v>400</v>
      </c>
      <c r="C17" s="46" t="s">
        <v>401</v>
      </c>
      <c r="D17" s="53" t="s">
        <v>304</v>
      </c>
      <c r="E17" s="38"/>
      <c r="F17" s="46" t="str">
        <f t="shared" ref="F17:F18" si="9">A17</f>
        <v>3806456903-1/2</v>
      </c>
      <c r="G17" s="38"/>
      <c r="H17" s="47" t="s">
        <v>402</v>
      </c>
      <c r="I17" s="63" t="s">
        <v>403</v>
      </c>
      <c r="J17" s="49" t="s">
        <v>327</v>
      </c>
      <c r="K17" s="46" t="s">
        <v>404</v>
      </c>
      <c r="L17" s="50" t="str">
        <f t="shared" ref="L17:L18" si="10">J17&amp;"-"&amp;N17&amp;"-"&amp;M17&amp;"-"&amp;RIGHT(O17,LEN(O17)-1)&amp;"-"&amp;COUNTIF($O$2:O17,O17)&amp;"/"&amp;COUNTIF($O$2:$O1000,O17)</f>
        <v>BCKID-IN-Đen-Youth M-3806456903-1/2</v>
      </c>
      <c r="M17" s="49" t="s">
        <v>77</v>
      </c>
      <c r="N17" s="51" t="s">
        <v>310</v>
      </c>
      <c r="O17" s="46" t="s">
        <v>405</v>
      </c>
      <c r="P17" s="52" t="str">
        <f t="shared" ref="P17:P18" si="11">RIGHT(O17,LEN(O17)-1)&amp;"-"&amp;COUNTIF($O$2:O17,O17)&amp;"/"&amp;COUNTIF($O$2:$O1000,O17)</f>
        <v>3806456903-1/2</v>
      </c>
      <c r="Q17" s="51">
        <v>1</v>
      </c>
      <c r="R17" s="46" t="s">
        <v>406</v>
      </c>
      <c r="S17" s="46" t="s">
        <v>407</v>
      </c>
      <c r="T17" s="38"/>
      <c r="U17" s="46" t="s">
        <v>387</v>
      </c>
      <c r="V17" s="51" t="s">
        <v>334</v>
      </c>
      <c r="W17" s="46" t="s">
        <v>56</v>
      </c>
      <c r="X17" s="38"/>
      <c r="Y17" s="38"/>
      <c r="Z17" s="51">
        <v>23456</v>
      </c>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row>
    <row r="18" spans="1:90">
      <c r="A18" s="46" t="str">
        <f t="shared" si="8"/>
        <v>3806456903-2/2</v>
      </c>
      <c r="B18" s="47" t="s">
        <v>400</v>
      </c>
      <c r="C18" s="46" t="s">
        <v>408</v>
      </c>
      <c r="D18" s="53" t="s">
        <v>304</v>
      </c>
      <c r="E18" s="38"/>
      <c r="F18" s="46" t="str">
        <f t="shared" si="9"/>
        <v>3806456903-2/2</v>
      </c>
      <c r="G18" s="38"/>
      <c r="H18" s="47" t="s">
        <v>409</v>
      </c>
      <c r="I18" s="64"/>
      <c r="J18" s="49" t="s">
        <v>327</v>
      </c>
      <c r="K18" s="46" t="s">
        <v>404</v>
      </c>
      <c r="L18" s="50" t="str">
        <f t="shared" si="10"/>
        <v>BCKID-IN-Đen-Youth M-3806456903-2/2</v>
      </c>
      <c r="M18" s="49" t="s">
        <v>77</v>
      </c>
      <c r="N18" s="51" t="s">
        <v>310</v>
      </c>
      <c r="O18" s="46" t="s">
        <v>405</v>
      </c>
      <c r="P18" s="52" t="str">
        <f t="shared" si="11"/>
        <v>3806456903-2/2</v>
      </c>
      <c r="Q18" s="51">
        <v>1</v>
      </c>
      <c r="R18" s="46" t="s">
        <v>406</v>
      </c>
      <c r="S18" s="46" t="s">
        <v>407</v>
      </c>
      <c r="T18" s="38"/>
      <c r="U18" s="46" t="s">
        <v>387</v>
      </c>
      <c r="V18" s="51" t="s">
        <v>334</v>
      </c>
      <c r="W18" s="46" t="s">
        <v>56</v>
      </c>
      <c r="X18" s="38"/>
      <c r="Y18" s="38"/>
      <c r="Z18" s="51">
        <v>23456</v>
      </c>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row>
    <row r="19" spans="1:90">
      <c r="D19" s="53" t="s">
        <v>304</v>
      </c>
      <c r="H19" s="47" t="s">
        <v>410</v>
      </c>
      <c r="J19" s="59"/>
      <c r="L19" s="59"/>
      <c r="M19" s="59"/>
    </row>
    <row r="20" spans="1:90">
      <c r="D20" s="59"/>
      <c r="H20" s="47" t="s">
        <v>411</v>
      </c>
      <c r="J20" s="59"/>
      <c r="L20" s="59"/>
      <c r="M20" s="59"/>
    </row>
    <row r="21" spans="1:90">
      <c r="D21" s="59"/>
      <c r="H21" s="47" t="s">
        <v>412</v>
      </c>
      <c r="J21" s="59"/>
      <c r="L21" s="59"/>
      <c r="M21" s="59"/>
    </row>
    <row r="22" spans="1:90">
      <c r="D22" s="59"/>
      <c r="H22" s="47" t="s">
        <v>413</v>
      </c>
      <c r="J22" s="59"/>
      <c r="L22" s="59"/>
      <c r="M22" s="59"/>
    </row>
    <row r="23" spans="1:90">
      <c r="D23" s="59"/>
      <c r="H23" s="47" t="s">
        <v>414</v>
      </c>
      <c r="J23" s="59"/>
      <c r="L23" s="59"/>
      <c r="M23" s="59"/>
    </row>
    <row r="24" spans="1:90">
      <c r="D24" s="59"/>
      <c r="H24" s="47" t="s">
        <v>415</v>
      </c>
      <c r="J24" s="59"/>
      <c r="L24" s="59"/>
      <c r="M24" s="59"/>
    </row>
    <row r="25" spans="1:90">
      <c r="D25" s="59"/>
      <c r="H25" s="47" t="s">
        <v>416</v>
      </c>
      <c r="J25" s="59"/>
      <c r="L25" s="59"/>
      <c r="M25" s="59"/>
    </row>
    <row r="26" spans="1:90">
      <c r="D26" s="59"/>
      <c r="H26" s="47" t="s">
        <v>417</v>
      </c>
      <c r="J26" s="59"/>
      <c r="L26" s="59"/>
      <c r="M26" s="59"/>
    </row>
    <row r="27" spans="1:90">
      <c r="D27" s="59"/>
      <c r="J27" s="59"/>
      <c r="L27" s="59"/>
      <c r="M27" s="59"/>
    </row>
    <row r="28" spans="1:90">
      <c r="D28" s="59"/>
      <c r="J28" s="59"/>
      <c r="L28" s="59"/>
      <c r="M28" s="59"/>
    </row>
    <row r="29" spans="1:90">
      <c r="D29" s="59"/>
      <c r="J29" s="59"/>
      <c r="L29" s="59"/>
      <c r="M29" s="59"/>
    </row>
    <row r="30" spans="1:90">
      <c r="D30" s="59"/>
      <c r="J30" s="59"/>
      <c r="L30" s="59"/>
      <c r="M30" s="59"/>
    </row>
    <row r="31" spans="1:90">
      <c r="D31" s="59"/>
      <c r="J31" s="59"/>
      <c r="L31" s="59"/>
      <c r="M31" s="59"/>
    </row>
    <row r="32" spans="1:90">
      <c r="D32" s="59"/>
      <c r="J32" s="59"/>
      <c r="L32" s="59"/>
      <c r="M32" s="59"/>
    </row>
    <row r="33" spans="4:13">
      <c r="D33" s="59"/>
      <c r="J33" s="59"/>
      <c r="L33" s="59"/>
      <c r="M33" s="59"/>
    </row>
    <row r="34" spans="4:13">
      <c r="D34" s="59"/>
      <c r="J34" s="59"/>
      <c r="L34" s="59"/>
      <c r="M34" s="59"/>
    </row>
    <row r="35" spans="4:13">
      <c r="D35" s="59"/>
      <c r="J35" s="59"/>
      <c r="L35" s="59"/>
      <c r="M35" s="59"/>
    </row>
    <row r="36" spans="4:13">
      <c r="D36" s="59"/>
      <c r="J36" s="59"/>
      <c r="L36" s="59"/>
      <c r="M36" s="59"/>
    </row>
    <row r="37" spans="4:13">
      <c r="D37" s="59"/>
      <c r="J37" s="59"/>
      <c r="L37" s="59"/>
      <c r="M37" s="59"/>
    </row>
    <row r="38" spans="4:13">
      <c r="D38" s="59"/>
      <c r="J38" s="59"/>
      <c r="L38" s="59"/>
      <c r="M38" s="59"/>
    </row>
    <row r="39" spans="4:13">
      <c r="D39" s="59"/>
      <c r="J39" s="59"/>
      <c r="L39" s="59"/>
      <c r="M39" s="59"/>
    </row>
    <row r="40" spans="4:13">
      <c r="D40" s="59"/>
      <c r="J40" s="59"/>
      <c r="L40" s="59"/>
      <c r="M40" s="59"/>
    </row>
    <row r="41" spans="4:13">
      <c r="D41" s="59"/>
      <c r="J41" s="59"/>
      <c r="L41" s="59"/>
      <c r="M41" s="59"/>
    </row>
    <row r="42" spans="4:13">
      <c r="D42" s="59"/>
      <c r="J42" s="59"/>
      <c r="L42" s="59"/>
      <c r="M42" s="59"/>
    </row>
    <row r="43" spans="4:13">
      <c r="D43" s="59"/>
      <c r="J43" s="59"/>
      <c r="L43" s="59"/>
      <c r="M43" s="59"/>
    </row>
    <row r="44" spans="4:13">
      <c r="D44" s="59"/>
      <c r="J44" s="59"/>
      <c r="L44" s="59"/>
      <c r="M44" s="59"/>
    </row>
    <row r="45" spans="4:13">
      <c r="D45" s="59"/>
      <c r="J45" s="59"/>
      <c r="L45" s="59"/>
      <c r="M45" s="59"/>
    </row>
    <row r="46" spans="4:13">
      <c r="D46" s="59"/>
      <c r="J46" s="59"/>
      <c r="L46" s="59"/>
      <c r="M46" s="59"/>
    </row>
    <row r="47" spans="4:13">
      <c r="D47" s="59"/>
      <c r="J47" s="59"/>
      <c r="L47" s="59"/>
      <c r="M47" s="59"/>
    </row>
    <row r="48" spans="4:13">
      <c r="D48" s="59"/>
      <c r="J48" s="59"/>
      <c r="L48" s="59"/>
      <c r="M48" s="59"/>
    </row>
    <row r="49" spans="4:13">
      <c r="D49" s="59"/>
      <c r="J49" s="59"/>
      <c r="L49" s="59"/>
      <c r="M49" s="59"/>
    </row>
    <row r="50" spans="4:13">
      <c r="D50" s="59"/>
      <c r="J50" s="59"/>
      <c r="L50" s="59"/>
      <c r="M50" s="59"/>
    </row>
    <row r="51" spans="4:13">
      <c r="D51" s="59"/>
      <c r="J51" s="59"/>
      <c r="L51" s="59"/>
      <c r="M51" s="59"/>
    </row>
    <row r="52" spans="4:13">
      <c r="D52" s="59"/>
      <c r="J52" s="59"/>
      <c r="L52" s="59"/>
      <c r="M52" s="59"/>
    </row>
    <row r="53" spans="4:13">
      <c r="D53" s="59"/>
      <c r="J53" s="59"/>
      <c r="L53" s="59"/>
      <c r="M53" s="59"/>
    </row>
    <row r="54" spans="4:13">
      <c r="D54" s="59"/>
      <c r="J54" s="59"/>
      <c r="L54" s="59"/>
      <c r="M54" s="59"/>
    </row>
    <row r="55" spans="4:13">
      <c r="D55" s="59"/>
      <c r="J55" s="59"/>
      <c r="L55" s="59"/>
      <c r="M55" s="59"/>
    </row>
    <row r="56" spans="4:13">
      <c r="D56" s="59"/>
      <c r="J56" s="59"/>
      <c r="L56" s="59"/>
      <c r="M56" s="59"/>
    </row>
    <row r="57" spans="4:13">
      <c r="D57" s="59"/>
      <c r="J57" s="59"/>
      <c r="L57" s="59"/>
      <c r="M57" s="59"/>
    </row>
    <row r="58" spans="4:13">
      <c r="D58" s="59"/>
      <c r="J58" s="59"/>
      <c r="L58" s="59"/>
      <c r="M58" s="59"/>
    </row>
    <row r="59" spans="4:13">
      <c r="D59" s="59"/>
      <c r="J59" s="59"/>
      <c r="L59" s="59"/>
      <c r="M59" s="59"/>
    </row>
    <row r="60" spans="4:13">
      <c r="D60" s="59"/>
      <c r="J60" s="59"/>
      <c r="L60" s="59"/>
      <c r="M60" s="59"/>
    </row>
    <row r="61" spans="4:13">
      <c r="D61" s="59"/>
      <c r="J61" s="59"/>
      <c r="L61" s="59"/>
      <c r="M61" s="59"/>
    </row>
    <row r="62" spans="4:13">
      <c r="D62" s="59"/>
      <c r="J62" s="59"/>
      <c r="L62" s="59"/>
      <c r="M62" s="59"/>
    </row>
    <row r="63" spans="4:13">
      <c r="D63" s="59"/>
      <c r="J63" s="59"/>
      <c r="L63" s="59"/>
      <c r="M63" s="59"/>
    </row>
    <row r="64" spans="4:13">
      <c r="D64" s="59"/>
      <c r="J64" s="59"/>
      <c r="L64" s="59"/>
      <c r="M64" s="59"/>
    </row>
    <row r="65" spans="4:13">
      <c r="D65" s="59"/>
      <c r="J65" s="59"/>
      <c r="L65" s="59"/>
      <c r="M65" s="59"/>
    </row>
    <row r="66" spans="4:13">
      <c r="D66" s="59"/>
      <c r="J66" s="59"/>
      <c r="L66" s="59"/>
      <c r="M66" s="59"/>
    </row>
    <row r="67" spans="4:13">
      <c r="D67" s="59"/>
      <c r="J67" s="59"/>
      <c r="L67" s="59"/>
      <c r="M67" s="59"/>
    </row>
    <row r="68" spans="4:13">
      <c r="D68" s="59"/>
      <c r="J68" s="59"/>
      <c r="L68" s="59"/>
      <c r="M68" s="59"/>
    </row>
    <row r="69" spans="4:13">
      <c r="D69" s="59"/>
      <c r="J69" s="59"/>
      <c r="L69" s="59"/>
      <c r="M69" s="59"/>
    </row>
    <row r="70" spans="4:13">
      <c r="D70" s="59"/>
      <c r="J70" s="59"/>
      <c r="L70" s="59"/>
      <c r="M70" s="59"/>
    </row>
    <row r="71" spans="4:13">
      <c r="D71" s="59"/>
      <c r="J71" s="59"/>
      <c r="L71" s="59"/>
      <c r="M71" s="59"/>
    </row>
    <row r="72" spans="4:13">
      <c r="D72" s="59"/>
      <c r="J72" s="59"/>
      <c r="L72" s="59"/>
      <c r="M72" s="59"/>
    </row>
    <row r="73" spans="4:13">
      <c r="D73" s="59"/>
      <c r="J73" s="59"/>
      <c r="L73" s="59"/>
      <c r="M73" s="59"/>
    </row>
    <row r="74" spans="4:13">
      <c r="D74" s="59"/>
      <c r="J74" s="59"/>
      <c r="L74" s="59"/>
      <c r="M74" s="59"/>
    </row>
    <row r="75" spans="4:13">
      <c r="D75" s="59"/>
      <c r="J75" s="59"/>
      <c r="L75" s="59"/>
      <c r="M75" s="59"/>
    </row>
    <row r="76" spans="4:13">
      <c r="D76" s="59"/>
      <c r="J76" s="59"/>
      <c r="L76" s="59"/>
      <c r="M76" s="59"/>
    </row>
    <row r="77" spans="4:13">
      <c r="D77" s="59"/>
      <c r="J77" s="59"/>
      <c r="L77" s="59"/>
      <c r="M77" s="59"/>
    </row>
    <row r="78" spans="4:13">
      <c r="D78" s="59"/>
      <c r="J78" s="59"/>
      <c r="L78" s="59"/>
      <c r="M78" s="59"/>
    </row>
    <row r="79" spans="4:13">
      <c r="D79" s="59"/>
      <c r="J79" s="59"/>
      <c r="L79" s="59"/>
      <c r="M79" s="59"/>
    </row>
    <row r="80" spans="4:13">
      <c r="D80" s="59"/>
      <c r="J80" s="59"/>
      <c r="L80" s="59"/>
      <c r="M80" s="59"/>
    </row>
    <row r="81" spans="4:13">
      <c r="D81" s="59"/>
      <c r="J81" s="59"/>
      <c r="L81" s="59"/>
      <c r="M81" s="59"/>
    </row>
    <row r="82" spans="4:13">
      <c r="D82" s="59"/>
      <c r="J82" s="59"/>
      <c r="L82" s="59"/>
      <c r="M82" s="59"/>
    </row>
    <row r="83" spans="4:13">
      <c r="D83" s="59"/>
      <c r="J83" s="59"/>
      <c r="L83" s="59"/>
      <c r="M83" s="59"/>
    </row>
    <row r="84" spans="4:13">
      <c r="D84" s="59"/>
      <c r="J84" s="59"/>
      <c r="L84" s="59"/>
      <c r="M84" s="59"/>
    </row>
    <row r="85" spans="4:13">
      <c r="D85" s="59"/>
      <c r="J85" s="59"/>
      <c r="L85" s="59"/>
      <c r="M85" s="59"/>
    </row>
    <row r="86" spans="4:13">
      <c r="D86" s="59"/>
      <c r="J86" s="59"/>
      <c r="L86" s="59"/>
      <c r="M86" s="59"/>
    </row>
    <row r="87" spans="4:13">
      <c r="D87" s="59"/>
      <c r="J87" s="59"/>
      <c r="L87" s="59"/>
      <c r="M87" s="59"/>
    </row>
    <row r="88" spans="4:13">
      <c r="D88" s="59"/>
      <c r="J88" s="59"/>
      <c r="L88" s="59"/>
      <c r="M88" s="59"/>
    </row>
    <row r="89" spans="4:13">
      <c r="D89" s="59"/>
      <c r="J89" s="59"/>
      <c r="L89" s="59"/>
      <c r="M89" s="59"/>
    </row>
    <row r="90" spans="4:13">
      <c r="D90" s="59"/>
      <c r="J90" s="59"/>
      <c r="L90" s="59"/>
      <c r="M90" s="59"/>
    </row>
    <row r="91" spans="4:13">
      <c r="D91" s="59"/>
      <c r="J91" s="59"/>
      <c r="L91" s="59"/>
      <c r="M91" s="59"/>
    </row>
    <row r="92" spans="4:13">
      <c r="D92" s="59"/>
      <c r="J92" s="59"/>
      <c r="L92" s="59"/>
      <c r="M92" s="59"/>
    </row>
    <row r="93" spans="4:13">
      <c r="D93" s="59"/>
      <c r="J93" s="59"/>
      <c r="L93" s="59"/>
      <c r="M93" s="59"/>
    </row>
    <row r="94" spans="4:13">
      <c r="D94" s="59"/>
      <c r="J94" s="59"/>
      <c r="L94" s="59"/>
      <c r="M94" s="59"/>
    </row>
    <row r="95" spans="4:13">
      <c r="D95" s="59"/>
      <c r="J95" s="59"/>
      <c r="L95" s="59"/>
      <c r="M95" s="59"/>
    </row>
    <row r="96" spans="4:13">
      <c r="D96" s="59"/>
      <c r="J96" s="59"/>
      <c r="L96" s="59"/>
      <c r="M96" s="59"/>
    </row>
    <row r="97" spans="4:13">
      <c r="D97" s="59"/>
      <c r="J97" s="59"/>
      <c r="L97" s="59"/>
      <c r="M97" s="59"/>
    </row>
    <row r="98" spans="4:13">
      <c r="D98" s="59"/>
      <c r="J98" s="59"/>
      <c r="L98" s="59"/>
      <c r="M98" s="59"/>
    </row>
    <row r="99" spans="4:13">
      <c r="D99" s="59"/>
      <c r="J99" s="59"/>
      <c r="L99" s="59"/>
      <c r="M99" s="59"/>
    </row>
    <row r="100" spans="4:13">
      <c r="D100" s="59"/>
      <c r="J100" s="59"/>
      <c r="L100" s="59"/>
      <c r="M100" s="59"/>
    </row>
    <row r="101" spans="4:13">
      <c r="D101" s="59"/>
      <c r="J101" s="59"/>
      <c r="L101" s="59"/>
      <c r="M101" s="59"/>
    </row>
    <row r="102" spans="4:13">
      <c r="D102" s="59"/>
      <c r="J102" s="59"/>
      <c r="L102" s="59"/>
      <c r="M102" s="59"/>
    </row>
    <row r="103" spans="4:13">
      <c r="D103" s="59"/>
      <c r="J103" s="59"/>
      <c r="L103" s="59"/>
      <c r="M103" s="59"/>
    </row>
    <row r="104" spans="4:13">
      <c r="D104" s="59"/>
      <c r="J104" s="59"/>
      <c r="L104" s="59"/>
      <c r="M104" s="59"/>
    </row>
    <row r="105" spans="4:13">
      <c r="D105" s="59"/>
      <c r="J105" s="59"/>
      <c r="L105" s="59"/>
      <c r="M105" s="59"/>
    </row>
    <row r="106" spans="4:13">
      <c r="D106" s="59"/>
      <c r="J106" s="59"/>
      <c r="L106" s="59"/>
      <c r="M106" s="59"/>
    </row>
    <row r="107" spans="4:13">
      <c r="D107" s="59"/>
      <c r="J107" s="59"/>
      <c r="L107" s="59"/>
      <c r="M107" s="59"/>
    </row>
    <row r="108" spans="4:13">
      <c r="D108" s="59"/>
      <c r="J108" s="59"/>
      <c r="L108" s="59"/>
      <c r="M108" s="59"/>
    </row>
    <row r="109" spans="4:13">
      <c r="D109" s="59"/>
      <c r="J109" s="59"/>
      <c r="L109" s="59"/>
      <c r="M109" s="59"/>
    </row>
    <row r="110" spans="4:13">
      <c r="D110" s="59"/>
      <c r="J110" s="59"/>
      <c r="L110" s="59"/>
      <c r="M110" s="59"/>
    </row>
    <row r="111" spans="4:13">
      <c r="D111" s="59"/>
      <c r="J111" s="59"/>
      <c r="L111" s="59"/>
      <c r="M111" s="59"/>
    </row>
    <row r="112" spans="4:13">
      <c r="D112" s="59"/>
      <c r="J112" s="59"/>
      <c r="L112" s="59"/>
      <c r="M112" s="59"/>
    </row>
    <row r="113" spans="4:13">
      <c r="D113" s="59"/>
      <c r="J113" s="59"/>
      <c r="L113" s="59"/>
      <c r="M113" s="59"/>
    </row>
    <row r="114" spans="4:13">
      <c r="D114" s="59"/>
      <c r="J114" s="59"/>
      <c r="L114" s="59"/>
      <c r="M114" s="59"/>
    </row>
    <row r="115" spans="4:13">
      <c r="D115" s="59"/>
      <c r="J115" s="59"/>
      <c r="L115" s="59"/>
      <c r="M115" s="59"/>
    </row>
    <row r="116" spans="4:13">
      <c r="D116" s="59"/>
      <c r="J116" s="59"/>
      <c r="L116" s="59"/>
      <c r="M116" s="59"/>
    </row>
    <row r="117" spans="4:13">
      <c r="D117" s="59"/>
      <c r="J117" s="59"/>
      <c r="L117" s="59"/>
      <c r="M117" s="59"/>
    </row>
    <row r="118" spans="4:13">
      <c r="D118" s="59"/>
      <c r="J118" s="59"/>
      <c r="L118" s="59"/>
      <c r="M118" s="59"/>
    </row>
    <row r="119" spans="4:13">
      <c r="D119" s="59"/>
      <c r="J119" s="59"/>
      <c r="L119" s="59"/>
      <c r="M119" s="59"/>
    </row>
    <row r="120" spans="4:13">
      <c r="D120" s="59"/>
      <c r="J120" s="59"/>
      <c r="L120" s="59"/>
      <c r="M120" s="59"/>
    </row>
    <row r="121" spans="4:13">
      <c r="D121" s="59"/>
      <c r="J121" s="59"/>
      <c r="L121" s="59"/>
      <c r="M121" s="59"/>
    </row>
    <row r="122" spans="4:13">
      <c r="D122" s="59"/>
      <c r="J122" s="59"/>
      <c r="L122" s="59"/>
      <c r="M122" s="59"/>
    </row>
    <row r="123" spans="4:13">
      <c r="D123" s="59"/>
      <c r="J123" s="59"/>
      <c r="L123" s="59"/>
      <c r="M123" s="59"/>
    </row>
    <row r="124" spans="4:13">
      <c r="D124" s="59"/>
      <c r="J124" s="59"/>
      <c r="L124" s="59"/>
      <c r="M124" s="59"/>
    </row>
    <row r="125" spans="4:13">
      <c r="D125" s="59"/>
      <c r="J125" s="59"/>
      <c r="L125" s="59"/>
      <c r="M125" s="59"/>
    </row>
    <row r="126" spans="4:13">
      <c r="D126" s="59"/>
      <c r="J126" s="59"/>
      <c r="L126" s="59"/>
      <c r="M126" s="59"/>
    </row>
    <row r="127" spans="4:13">
      <c r="D127" s="59"/>
      <c r="J127" s="59"/>
      <c r="L127" s="59"/>
      <c r="M127" s="59"/>
    </row>
    <row r="128" spans="4:13">
      <c r="D128" s="59"/>
      <c r="J128" s="59"/>
      <c r="L128" s="59"/>
      <c r="M128" s="59"/>
    </row>
    <row r="129" spans="4:13">
      <c r="D129" s="59"/>
      <c r="J129" s="59"/>
      <c r="L129" s="59"/>
      <c r="M129" s="59"/>
    </row>
    <row r="130" spans="4:13">
      <c r="D130" s="59"/>
      <c r="J130" s="59"/>
      <c r="L130" s="59"/>
      <c r="M130" s="59"/>
    </row>
    <row r="131" spans="4:13">
      <c r="D131" s="59"/>
      <c r="J131" s="59"/>
      <c r="L131" s="59"/>
      <c r="M131" s="59"/>
    </row>
    <row r="132" spans="4:13">
      <c r="D132" s="59"/>
      <c r="J132" s="59"/>
      <c r="L132" s="59"/>
      <c r="M132" s="59"/>
    </row>
    <row r="133" spans="4:13">
      <c r="D133" s="59"/>
      <c r="J133" s="59"/>
      <c r="L133" s="59"/>
      <c r="M133" s="59"/>
    </row>
    <row r="134" spans="4:13">
      <c r="D134" s="59"/>
      <c r="J134" s="59"/>
      <c r="L134" s="59"/>
      <c r="M134" s="59"/>
    </row>
    <row r="135" spans="4:13">
      <c r="D135" s="59"/>
      <c r="J135" s="59"/>
      <c r="L135" s="59"/>
      <c r="M135" s="59"/>
    </row>
    <row r="136" spans="4:13">
      <c r="D136" s="59"/>
      <c r="J136" s="59"/>
      <c r="L136" s="59"/>
      <c r="M136" s="59"/>
    </row>
    <row r="137" spans="4:13">
      <c r="D137" s="59"/>
      <c r="J137" s="59"/>
      <c r="L137" s="59"/>
      <c r="M137" s="59"/>
    </row>
    <row r="138" spans="4:13">
      <c r="D138" s="59"/>
      <c r="J138" s="59"/>
      <c r="L138" s="59"/>
      <c r="M138" s="59"/>
    </row>
    <row r="139" spans="4:13">
      <c r="D139" s="59"/>
      <c r="J139" s="59"/>
      <c r="L139" s="59"/>
      <c r="M139" s="59"/>
    </row>
    <row r="140" spans="4:13">
      <c r="D140" s="59"/>
      <c r="J140" s="59"/>
      <c r="L140" s="59"/>
      <c r="M140" s="59"/>
    </row>
    <row r="141" spans="4:13">
      <c r="D141" s="59"/>
      <c r="J141" s="59"/>
      <c r="L141" s="59"/>
      <c r="M141" s="59"/>
    </row>
    <row r="142" spans="4:13">
      <c r="D142" s="59"/>
      <c r="J142" s="59"/>
      <c r="L142" s="59"/>
      <c r="M142" s="59"/>
    </row>
    <row r="143" spans="4:13">
      <c r="D143" s="59"/>
      <c r="J143" s="59"/>
      <c r="L143" s="59"/>
      <c r="M143" s="59"/>
    </row>
    <row r="144" spans="4:13">
      <c r="D144" s="59"/>
      <c r="J144" s="59"/>
      <c r="L144" s="59"/>
      <c r="M144" s="59"/>
    </row>
    <row r="145" spans="4:13">
      <c r="D145" s="59"/>
      <c r="J145" s="59"/>
      <c r="L145" s="59"/>
      <c r="M145" s="59"/>
    </row>
    <row r="146" spans="4:13">
      <c r="D146" s="59"/>
      <c r="J146" s="59"/>
      <c r="L146" s="59"/>
      <c r="M146" s="59"/>
    </row>
    <row r="147" spans="4:13">
      <c r="D147" s="59"/>
      <c r="J147" s="59"/>
      <c r="L147" s="59"/>
      <c r="M147" s="59"/>
    </row>
    <row r="148" spans="4:13">
      <c r="D148" s="59"/>
      <c r="J148" s="59"/>
      <c r="L148" s="59"/>
      <c r="M148" s="59"/>
    </row>
    <row r="149" spans="4:13">
      <c r="D149" s="59"/>
      <c r="J149" s="59"/>
      <c r="L149" s="59"/>
      <c r="M149" s="59"/>
    </row>
    <row r="150" spans="4:13">
      <c r="D150" s="59"/>
      <c r="J150" s="59"/>
      <c r="L150" s="59"/>
      <c r="M150" s="59"/>
    </row>
    <row r="151" spans="4:13">
      <c r="D151" s="59"/>
      <c r="J151" s="59"/>
      <c r="L151" s="59"/>
      <c r="M151" s="59"/>
    </row>
    <row r="152" spans="4:13">
      <c r="D152" s="59"/>
      <c r="J152" s="59"/>
      <c r="L152" s="59"/>
      <c r="M152" s="59"/>
    </row>
    <row r="153" spans="4:13">
      <c r="D153" s="59"/>
      <c r="J153" s="59"/>
      <c r="L153" s="59"/>
      <c r="M153" s="59"/>
    </row>
    <row r="154" spans="4:13">
      <c r="D154" s="59"/>
      <c r="J154" s="59"/>
      <c r="L154" s="59"/>
      <c r="M154" s="59"/>
    </row>
    <row r="155" spans="4:13">
      <c r="D155" s="59"/>
      <c r="J155" s="59"/>
      <c r="L155" s="59"/>
      <c r="M155" s="59"/>
    </row>
    <row r="156" spans="4:13">
      <c r="D156" s="59"/>
      <c r="J156" s="59"/>
      <c r="L156" s="59"/>
      <c r="M156" s="59"/>
    </row>
    <row r="157" spans="4:13">
      <c r="D157" s="59"/>
      <c r="J157" s="59"/>
      <c r="L157" s="59"/>
      <c r="M157" s="59"/>
    </row>
    <row r="158" spans="4:13">
      <c r="D158" s="59"/>
      <c r="J158" s="59"/>
      <c r="L158" s="59"/>
      <c r="M158" s="59"/>
    </row>
    <row r="159" spans="4:13">
      <c r="D159" s="59"/>
      <c r="J159" s="59"/>
      <c r="L159" s="59"/>
      <c r="M159" s="59"/>
    </row>
    <row r="160" spans="4:13">
      <c r="D160" s="59"/>
      <c r="J160" s="59"/>
      <c r="L160" s="59"/>
      <c r="M160" s="59"/>
    </row>
    <row r="161" spans="4:13">
      <c r="D161" s="59"/>
      <c r="J161" s="59"/>
      <c r="L161" s="59"/>
      <c r="M161" s="59"/>
    </row>
    <row r="162" spans="4:13">
      <c r="D162" s="59"/>
      <c r="J162" s="59"/>
      <c r="L162" s="59"/>
      <c r="M162" s="59"/>
    </row>
    <row r="163" spans="4:13">
      <c r="D163" s="59"/>
      <c r="J163" s="59"/>
      <c r="L163" s="59"/>
      <c r="M163" s="59"/>
    </row>
    <row r="164" spans="4:13">
      <c r="D164" s="59"/>
      <c r="J164" s="59"/>
      <c r="L164" s="59"/>
      <c r="M164" s="59"/>
    </row>
    <row r="165" spans="4:13">
      <c r="D165" s="59"/>
      <c r="J165" s="59"/>
      <c r="L165" s="59"/>
      <c r="M165" s="59"/>
    </row>
    <row r="166" spans="4:13">
      <c r="D166" s="59"/>
      <c r="J166" s="59"/>
      <c r="L166" s="59"/>
      <c r="M166" s="59"/>
    </row>
    <row r="167" spans="4:13">
      <c r="D167" s="59"/>
      <c r="J167" s="59"/>
      <c r="L167" s="59"/>
      <c r="M167" s="59"/>
    </row>
    <row r="168" spans="4:13">
      <c r="D168" s="59"/>
      <c r="J168" s="59"/>
      <c r="L168" s="59"/>
      <c r="M168" s="59"/>
    </row>
    <row r="169" spans="4:13">
      <c r="D169" s="59"/>
      <c r="J169" s="59"/>
      <c r="L169" s="59"/>
      <c r="M169" s="59"/>
    </row>
    <row r="170" spans="4:13">
      <c r="D170" s="59"/>
      <c r="J170" s="59"/>
      <c r="L170" s="59"/>
      <c r="M170" s="59"/>
    </row>
    <row r="171" spans="4:13">
      <c r="D171" s="59"/>
      <c r="J171" s="59"/>
      <c r="L171" s="59"/>
      <c r="M171" s="59"/>
    </row>
    <row r="172" spans="4:13">
      <c r="D172" s="59"/>
      <c r="J172" s="59"/>
      <c r="L172" s="59"/>
      <c r="M172" s="59"/>
    </row>
    <row r="173" spans="4:13">
      <c r="D173" s="59"/>
      <c r="J173" s="59"/>
      <c r="L173" s="59"/>
      <c r="M173" s="59"/>
    </row>
    <row r="174" spans="4:13">
      <c r="D174" s="59"/>
      <c r="J174" s="59"/>
      <c r="L174" s="59"/>
      <c r="M174" s="59"/>
    </row>
    <row r="175" spans="4:13">
      <c r="D175" s="59"/>
      <c r="J175" s="59"/>
      <c r="L175" s="59"/>
      <c r="M175" s="59"/>
    </row>
    <row r="176" spans="4:13">
      <c r="D176" s="59"/>
      <c r="J176" s="59"/>
      <c r="L176" s="59"/>
      <c r="M176" s="59"/>
    </row>
    <row r="177" spans="4:13">
      <c r="D177" s="59"/>
      <c r="J177" s="59"/>
      <c r="L177" s="59"/>
      <c r="M177" s="59"/>
    </row>
    <row r="178" spans="4:13">
      <c r="D178" s="59"/>
      <c r="J178" s="59"/>
      <c r="L178" s="59"/>
      <c r="M178" s="59"/>
    </row>
    <row r="179" spans="4:13">
      <c r="D179" s="59"/>
      <c r="J179" s="59"/>
      <c r="L179" s="59"/>
      <c r="M179" s="59"/>
    </row>
    <row r="180" spans="4:13">
      <c r="D180" s="59"/>
      <c r="J180" s="59"/>
      <c r="L180" s="59"/>
      <c r="M180" s="59"/>
    </row>
    <row r="181" spans="4:13">
      <c r="D181" s="59"/>
      <c r="J181" s="59"/>
      <c r="L181" s="59"/>
      <c r="M181" s="59"/>
    </row>
    <row r="182" spans="4:13">
      <c r="D182" s="59"/>
      <c r="J182" s="59"/>
      <c r="L182" s="59"/>
      <c r="M182" s="59"/>
    </row>
    <row r="183" spans="4:13">
      <c r="D183" s="59"/>
      <c r="J183" s="59"/>
      <c r="L183" s="59"/>
      <c r="M183" s="59"/>
    </row>
    <row r="184" spans="4:13">
      <c r="D184" s="59"/>
      <c r="J184" s="59"/>
      <c r="L184" s="59"/>
      <c r="M184" s="59"/>
    </row>
    <row r="185" spans="4:13">
      <c r="D185" s="59"/>
      <c r="J185" s="59"/>
      <c r="L185" s="59"/>
      <c r="M185" s="59"/>
    </row>
    <row r="186" spans="4:13">
      <c r="D186" s="59"/>
      <c r="J186" s="59"/>
      <c r="L186" s="59"/>
      <c r="M186" s="59"/>
    </row>
    <row r="187" spans="4:13">
      <c r="D187" s="59"/>
      <c r="J187" s="59"/>
      <c r="L187" s="59"/>
      <c r="M187" s="59"/>
    </row>
    <row r="188" spans="4:13">
      <c r="D188" s="59"/>
      <c r="J188" s="59"/>
      <c r="L188" s="59"/>
      <c r="M188" s="59"/>
    </row>
    <row r="189" spans="4:13">
      <c r="D189" s="59"/>
      <c r="J189" s="59"/>
      <c r="L189" s="59"/>
      <c r="M189" s="59"/>
    </row>
    <row r="190" spans="4:13">
      <c r="D190" s="59"/>
      <c r="J190" s="59"/>
      <c r="L190" s="59"/>
      <c r="M190" s="59"/>
    </row>
    <row r="191" spans="4:13">
      <c r="D191" s="59"/>
      <c r="J191" s="59"/>
      <c r="L191" s="59"/>
      <c r="M191" s="59"/>
    </row>
    <row r="192" spans="4:13">
      <c r="D192" s="59"/>
      <c r="J192" s="59"/>
      <c r="L192" s="59"/>
      <c r="M192" s="59"/>
    </row>
    <row r="193" spans="4:13">
      <c r="D193" s="59"/>
      <c r="J193" s="59"/>
      <c r="L193" s="59"/>
      <c r="M193" s="59"/>
    </row>
    <row r="194" spans="4:13">
      <c r="D194" s="59"/>
      <c r="J194" s="59"/>
      <c r="L194" s="59"/>
      <c r="M194" s="59"/>
    </row>
    <row r="195" spans="4:13">
      <c r="D195" s="59"/>
      <c r="J195" s="59"/>
      <c r="L195" s="59"/>
      <c r="M195" s="59"/>
    </row>
    <row r="196" spans="4:13">
      <c r="D196" s="59"/>
      <c r="J196" s="59"/>
      <c r="L196" s="59"/>
      <c r="M196" s="59"/>
    </row>
    <row r="197" spans="4:13">
      <c r="D197" s="59"/>
      <c r="J197" s="59"/>
      <c r="L197" s="59"/>
      <c r="M197" s="59"/>
    </row>
    <row r="198" spans="4:13">
      <c r="D198" s="59"/>
      <c r="J198" s="59"/>
      <c r="L198" s="59"/>
      <c r="M198" s="59"/>
    </row>
    <row r="199" spans="4:13">
      <c r="D199" s="59"/>
      <c r="J199" s="59"/>
      <c r="L199" s="59"/>
      <c r="M199" s="59"/>
    </row>
    <row r="200" spans="4:13">
      <c r="D200" s="59"/>
      <c r="J200" s="59"/>
      <c r="L200" s="59"/>
      <c r="M200" s="59"/>
    </row>
    <row r="201" spans="4:13">
      <c r="D201" s="59"/>
      <c r="J201" s="59"/>
      <c r="L201" s="59"/>
      <c r="M201" s="59"/>
    </row>
    <row r="202" spans="4:13">
      <c r="D202" s="59"/>
      <c r="J202" s="59"/>
      <c r="L202" s="59"/>
      <c r="M202" s="59"/>
    </row>
    <row r="203" spans="4:13">
      <c r="D203" s="59"/>
      <c r="J203" s="59"/>
      <c r="L203" s="59"/>
      <c r="M203" s="59"/>
    </row>
    <row r="204" spans="4:13">
      <c r="D204" s="59"/>
      <c r="J204" s="59"/>
      <c r="L204" s="59"/>
      <c r="M204" s="59"/>
    </row>
    <row r="205" spans="4:13">
      <c r="D205" s="59"/>
      <c r="J205" s="59"/>
      <c r="L205" s="59"/>
      <c r="M205" s="59"/>
    </row>
    <row r="206" spans="4:13">
      <c r="D206" s="59"/>
      <c r="J206" s="59"/>
      <c r="L206" s="59"/>
      <c r="M206" s="59"/>
    </row>
    <row r="207" spans="4:13">
      <c r="D207" s="59"/>
      <c r="J207" s="59"/>
      <c r="L207" s="59"/>
      <c r="M207" s="59"/>
    </row>
    <row r="208" spans="4:13">
      <c r="D208" s="59"/>
      <c r="J208" s="59"/>
      <c r="L208" s="59"/>
      <c r="M208" s="59"/>
    </row>
    <row r="209" spans="4:13">
      <c r="D209" s="59"/>
      <c r="J209" s="59"/>
      <c r="L209" s="59"/>
      <c r="M209" s="59"/>
    </row>
    <row r="210" spans="4:13">
      <c r="D210" s="59"/>
      <c r="J210" s="59"/>
      <c r="L210" s="59"/>
      <c r="M210" s="59"/>
    </row>
    <row r="211" spans="4:13">
      <c r="D211" s="59"/>
      <c r="J211" s="59"/>
      <c r="L211" s="59"/>
      <c r="M211" s="59"/>
    </row>
    <row r="212" spans="4:13">
      <c r="D212" s="59"/>
      <c r="J212" s="59"/>
      <c r="L212" s="59"/>
      <c r="M212" s="59"/>
    </row>
    <row r="213" spans="4:13">
      <c r="D213" s="59"/>
      <c r="J213" s="59"/>
      <c r="L213" s="59"/>
      <c r="M213" s="59"/>
    </row>
    <row r="214" spans="4:13">
      <c r="D214" s="59"/>
      <c r="J214" s="59"/>
      <c r="L214" s="59"/>
      <c r="M214" s="59"/>
    </row>
    <row r="215" spans="4:13">
      <c r="D215" s="59"/>
      <c r="J215" s="59"/>
      <c r="L215" s="59"/>
      <c r="M215" s="59"/>
    </row>
    <row r="216" spans="4:13">
      <c r="D216" s="59"/>
      <c r="J216" s="59"/>
      <c r="L216" s="59"/>
      <c r="M216" s="59"/>
    </row>
    <row r="217" spans="4:13">
      <c r="D217" s="59"/>
      <c r="J217" s="59"/>
      <c r="L217" s="59"/>
      <c r="M217" s="59"/>
    </row>
    <row r="218" spans="4:13">
      <c r="D218" s="59"/>
      <c r="J218" s="59"/>
      <c r="L218" s="59"/>
      <c r="M218" s="59"/>
    </row>
    <row r="219" spans="4:13">
      <c r="D219" s="59"/>
      <c r="J219" s="59"/>
      <c r="L219" s="59"/>
      <c r="M219" s="59"/>
    </row>
    <row r="220" spans="4:13">
      <c r="D220" s="59"/>
      <c r="J220" s="59"/>
      <c r="L220" s="59"/>
      <c r="M220" s="59"/>
    </row>
    <row r="221" spans="4:13">
      <c r="D221" s="59"/>
      <c r="J221" s="59"/>
      <c r="L221" s="59"/>
      <c r="M221" s="59"/>
    </row>
    <row r="222" spans="4:13">
      <c r="D222" s="59"/>
      <c r="J222" s="59"/>
      <c r="L222" s="59"/>
      <c r="M222" s="59"/>
    </row>
    <row r="223" spans="4:13">
      <c r="D223" s="59"/>
      <c r="J223" s="59"/>
      <c r="L223" s="59"/>
      <c r="M223" s="59"/>
    </row>
    <row r="224" spans="4:13">
      <c r="D224" s="59"/>
      <c r="J224" s="59"/>
      <c r="L224" s="59"/>
      <c r="M224" s="59"/>
    </row>
    <row r="225" spans="4:13">
      <c r="D225" s="59"/>
      <c r="J225" s="59"/>
      <c r="L225" s="59"/>
      <c r="M225" s="59"/>
    </row>
    <row r="226" spans="4:13">
      <c r="D226" s="59"/>
      <c r="J226" s="59"/>
      <c r="L226" s="59"/>
      <c r="M226" s="59"/>
    </row>
    <row r="227" spans="4:13">
      <c r="D227" s="59"/>
      <c r="J227" s="59"/>
      <c r="L227" s="59"/>
      <c r="M227" s="59"/>
    </row>
    <row r="228" spans="4:13">
      <c r="D228" s="59"/>
      <c r="J228" s="59"/>
      <c r="L228" s="59"/>
      <c r="M228" s="59"/>
    </row>
    <row r="229" spans="4:13">
      <c r="D229" s="59"/>
      <c r="J229" s="59"/>
      <c r="L229" s="59"/>
      <c r="M229" s="59"/>
    </row>
    <row r="230" spans="4:13">
      <c r="D230" s="59"/>
      <c r="J230" s="59"/>
      <c r="L230" s="59"/>
      <c r="M230" s="59"/>
    </row>
    <row r="231" spans="4:13">
      <c r="D231" s="59"/>
      <c r="J231" s="59"/>
      <c r="L231" s="59"/>
      <c r="M231" s="59"/>
    </row>
    <row r="232" spans="4:13">
      <c r="D232" s="59"/>
      <c r="J232" s="59"/>
      <c r="L232" s="59"/>
      <c r="M232" s="59"/>
    </row>
    <row r="233" spans="4:13">
      <c r="D233" s="59"/>
      <c r="J233" s="59"/>
      <c r="L233" s="59"/>
      <c r="M233" s="59"/>
    </row>
    <row r="234" spans="4:13">
      <c r="D234" s="59"/>
      <c r="J234" s="59"/>
      <c r="L234" s="59"/>
      <c r="M234" s="59"/>
    </row>
    <row r="235" spans="4:13">
      <c r="D235" s="59"/>
      <c r="J235" s="59"/>
      <c r="L235" s="59"/>
      <c r="M235" s="59"/>
    </row>
    <row r="236" spans="4:13">
      <c r="D236" s="59"/>
      <c r="J236" s="59"/>
      <c r="L236" s="59"/>
      <c r="M236" s="59"/>
    </row>
    <row r="237" spans="4:13">
      <c r="D237" s="59"/>
      <c r="J237" s="59"/>
      <c r="L237" s="59"/>
      <c r="M237" s="59"/>
    </row>
    <row r="238" spans="4:13">
      <c r="D238" s="59"/>
      <c r="J238" s="59"/>
      <c r="L238" s="59"/>
      <c r="M238" s="59"/>
    </row>
    <row r="239" spans="4:13">
      <c r="D239" s="59"/>
      <c r="J239" s="59"/>
      <c r="L239" s="59"/>
      <c r="M239" s="59"/>
    </row>
    <row r="240" spans="4:13">
      <c r="D240" s="59"/>
      <c r="J240" s="59"/>
      <c r="L240" s="59"/>
      <c r="M240" s="59"/>
    </row>
    <row r="241" spans="4:13">
      <c r="D241" s="59"/>
      <c r="J241" s="59"/>
      <c r="L241" s="59"/>
      <c r="M241" s="59"/>
    </row>
    <row r="242" spans="4:13">
      <c r="D242" s="59"/>
      <c r="J242" s="59"/>
      <c r="L242" s="59"/>
      <c r="M242" s="59"/>
    </row>
    <row r="243" spans="4:13">
      <c r="D243" s="59"/>
      <c r="J243" s="59"/>
      <c r="L243" s="59"/>
      <c r="M243" s="59"/>
    </row>
    <row r="244" spans="4:13">
      <c r="D244" s="59"/>
      <c r="J244" s="59"/>
      <c r="L244" s="59"/>
      <c r="M244" s="59"/>
    </row>
    <row r="245" spans="4:13">
      <c r="D245" s="59"/>
      <c r="J245" s="59"/>
      <c r="L245" s="59"/>
      <c r="M245" s="59"/>
    </row>
    <row r="246" spans="4:13">
      <c r="D246" s="59"/>
      <c r="J246" s="59"/>
      <c r="L246" s="59"/>
      <c r="M246" s="59"/>
    </row>
    <row r="247" spans="4:13">
      <c r="D247" s="59"/>
      <c r="J247" s="59"/>
      <c r="L247" s="59"/>
      <c r="M247" s="59"/>
    </row>
    <row r="248" spans="4:13">
      <c r="D248" s="59"/>
      <c r="J248" s="59"/>
      <c r="L248" s="59"/>
      <c r="M248" s="59"/>
    </row>
    <row r="249" spans="4:13">
      <c r="D249" s="59"/>
      <c r="J249" s="59"/>
      <c r="L249" s="59"/>
      <c r="M249" s="59"/>
    </row>
    <row r="250" spans="4:13">
      <c r="D250" s="59"/>
      <c r="J250" s="59"/>
      <c r="L250" s="59"/>
      <c r="M250" s="59"/>
    </row>
    <row r="251" spans="4:13">
      <c r="D251" s="59"/>
      <c r="J251" s="59"/>
      <c r="L251" s="59"/>
      <c r="M251" s="59"/>
    </row>
    <row r="252" spans="4:13">
      <c r="D252" s="59"/>
      <c r="J252" s="59"/>
      <c r="L252" s="59"/>
      <c r="M252" s="59"/>
    </row>
    <row r="253" spans="4:13">
      <c r="D253" s="59"/>
      <c r="J253" s="59"/>
      <c r="L253" s="59"/>
      <c r="M253" s="59"/>
    </row>
    <row r="254" spans="4:13">
      <c r="D254" s="59"/>
      <c r="J254" s="59"/>
      <c r="L254" s="59"/>
      <c r="M254" s="59"/>
    </row>
    <row r="255" spans="4:13">
      <c r="D255" s="59"/>
      <c r="J255" s="59"/>
      <c r="L255" s="59"/>
      <c r="M255" s="59"/>
    </row>
    <row r="256" spans="4:13">
      <c r="D256" s="59"/>
      <c r="J256" s="59"/>
      <c r="L256" s="59"/>
      <c r="M256" s="59"/>
    </row>
    <row r="257" spans="4:13">
      <c r="D257" s="59"/>
      <c r="J257" s="59"/>
      <c r="L257" s="59"/>
      <c r="M257" s="59"/>
    </row>
    <row r="258" spans="4:13">
      <c r="D258" s="59"/>
      <c r="J258" s="59"/>
      <c r="L258" s="59"/>
      <c r="M258" s="59"/>
    </row>
    <row r="259" spans="4:13">
      <c r="D259" s="59"/>
      <c r="J259" s="59"/>
      <c r="L259" s="59"/>
      <c r="M259" s="59"/>
    </row>
    <row r="260" spans="4:13">
      <c r="D260" s="59"/>
      <c r="J260" s="59"/>
      <c r="L260" s="59"/>
      <c r="M260" s="59"/>
    </row>
    <row r="261" spans="4:13">
      <c r="D261" s="59"/>
      <c r="J261" s="59"/>
      <c r="L261" s="59"/>
      <c r="M261" s="59"/>
    </row>
    <row r="262" spans="4:13">
      <c r="D262" s="59"/>
      <c r="J262" s="59"/>
      <c r="L262" s="59"/>
      <c r="M262" s="59"/>
    </row>
    <row r="263" spans="4:13">
      <c r="D263" s="59"/>
      <c r="J263" s="59"/>
      <c r="L263" s="59"/>
      <c r="M263" s="59"/>
    </row>
    <row r="264" spans="4:13">
      <c r="D264" s="59"/>
      <c r="J264" s="59"/>
      <c r="L264" s="59"/>
      <c r="M264" s="59"/>
    </row>
    <row r="265" spans="4:13">
      <c r="D265" s="59"/>
      <c r="J265" s="59"/>
      <c r="L265" s="59"/>
      <c r="M265" s="59"/>
    </row>
    <row r="266" spans="4:13">
      <c r="D266" s="59"/>
      <c r="J266" s="59"/>
      <c r="L266" s="59"/>
      <c r="M266" s="59"/>
    </row>
    <row r="267" spans="4:13">
      <c r="D267" s="59"/>
      <c r="J267" s="59"/>
      <c r="L267" s="59"/>
      <c r="M267" s="59"/>
    </row>
    <row r="268" spans="4:13">
      <c r="D268" s="59"/>
      <c r="J268" s="59"/>
      <c r="L268" s="59"/>
      <c r="M268" s="59"/>
    </row>
    <row r="269" spans="4:13">
      <c r="D269" s="59"/>
      <c r="J269" s="59"/>
      <c r="L269" s="59"/>
      <c r="M269" s="59"/>
    </row>
    <row r="270" spans="4:13">
      <c r="D270" s="59"/>
      <c r="J270" s="59"/>
      <c r="L270" s="59"/>
      <c r="M270" s="59"/>
    </row>
    <row r="271" spans="4:13">
      <c r="D271" s="59"/>
      <c r="J271" s="59"/>
      <c r="L271" s="59"/>
      <c r="M271" s="59"/>
    </row>
    <row r="272" spans="4:13">
      <c r="D272" s="59"/>
      <c r="J272" s="59"/>
      <c r="L272" s="59"/>
      <c r="M272" s="59"/>
    </row>
    <row r="273" spans="4:13">
      <c r="D273" s="59"/>
      <c r="J273" s="59"/>
      <c r="L273" s="59"/>
      <c r="M273" s="59"/>
    </row>
    <row r="274" spans="4:13">
      <c r="D274" s="59"/>
      <c r="J274" s="59"/>
      <c r="L274" s="59"/>
      <c r="M274" s="59"/>
    </row>
    <row r="275" spans="4:13">
      <c r="D275" s="59"/>
      <c r="J275" s="59"/>
      <c r="L275" s="59"/>
      <c r="M275" s="59"/>
    </row>
    <row r="276" spans="4:13">
      <c r="D276" s="59"/>
      <c r="J276" s="59"/>
      <c r="L276" s="59"/>
      <c r="M276" s="59"/>
    </row>
    <row r="277" spans="4:13">
      <c r="D277" s="59"/>
      <c r="J277" s="59"/>
      <c r="L277" s="59"/>
      <c r="M277" s="59"/>
    </row>
    <row r="278" spans="4:13">
      <c r="D278" s="59"/>
      <c r="J278" s="59"/>
      <c r="L278" s="59"/>
      <c r="M278" s="59"/>
    </row>
    <row r="279" spans="4:13">
      <c r="D279" s="59"/>
      <c r="J279" s="59"/>
      <c r="L279" s="59"/>
      <c r="M279" s="59"/>
    </row>
    <row r="280" spans="4:13">
      <c r="D280" s="59"/>
      <c r="J280" s="59"/>
      <c r="L280" s="59"/>
      <c r="M280" s="59"/>
    </row>
    <row r="281" spans="4:13">
      <c r="D281" s="59"/>
      <c r="J281" s="59"/>
      <c r="L281" s="59"/>
      <c r="M281" s="59"/>
    </row>
    <row r="282" spans="4:13">
      <c r="D282" s="59"/>
      <c r="J282" s="59"/>
      <c r="L282" s="59"/>
      <c r="M282" s="59"/>
    </row>
    <row r="283" spans="4:13">
      <c r="D283" s="59"/>
      <c r="J283" s="59"/>
      <c r="L283" s="59"/>
      <c r="M283" s="59"/>
    </row>
    <row r="284" spans="4:13">
      <c r="D284" s="59"/>
      <c r="J284" s="59"/>
      <c r="L284" s="59"/>
      <c r="M284" s="59"/>
    </row>
    <row r="285" spans="4:13">
      <c r="D285" s="59"/>
      <c r="J285" s="59"/>
      <c r="L285" s="59"/>
      <c r="M285" s="59"/>
    </row>
    <row r="286" spans="4:13">
      <c r="D286" s="59"/>
      <c r="J286" s="59"/>
      <c r="L286" s="59"/>
      <c r="M286" s="59"/>
    </row>
    <row r="287" spans="4:13">
      <c r="D287" s="59"/>
      <c r="J287" s="59"/>
      <c r="L287" s="59"/>
      <c r="M287" s="59"/>
    </row>
    <row r="288" spans="4:13">
      <c r="D288" s="59"/>
      <c r="J288" s="59"/>
      <c r="L288" s="59"/>
      <c r="M288" s="59"/>
    </row>
    <row r="289" spans="4:13">
      <c r="D289" s="59"/>
      <c r="J289" s="59"/>
      <c r="L289" s="59"/>
      <c r="M289" s="59"/>
    </row>
    <row r="290" spans="4:13">
      <c r="D290" s="59"/>
      <c r="J290" s="59"/>
      <c r="L290" s="59"/>
      <c r="M290" s="59"/>
    </row>
    <row r="291" spans="4:13">
      <c r="D291" s="59"/>
      <c r="J291" s="59"/>
      <c r="L291" s="59"/>
      <c r="M291" s="59"/>
    </row>
    <row r="292" spans="4:13">
      <c r="D292" s="59"/>
      <c r="J292" s="59"/>
      <c r="L292" s="59"/>
      <c r="M292" s="59"/>
    </row>
    <row r="293" spans="4:13">
      <c r="D293" s="59"/>
      <c r="J293" s="59"/>
      <c r="L293" s="59"/>
      <c r="M293" s="59"/>
    </row>
    <row r="294" spans="4:13">
      <c r="D294" s="59"/>
      <c r="J294" s="59"/>
      <c r="L294" s="59"/>
      <c r="M294" s="59"/>
    </row>
    <row r="295" spans="4:13">
      <c r="D295" s="59"/>
      <c r="J295" s="59"/>
      <c r="L295" s="59"/>
      <c r="M295" s="59"/>
    </row>
    <row r="296" spans="4:13">
      <c r="D296" s="59"/>
      <c r="J296" s="59"/>
      <c r="L296" s="59"/>
      <c r="M296" s="59"/>
    </row>
    <row r="297" spans="4:13">
      <c r="D297" s="59"/>
      <c r="J297" s="59"/>
      <c r="L297" s="59"/>
      <c r="M297" s="59"/>
    </row>
    <row r="298" spans="4:13">
      <c r="D298" s="59"/>
      <c r="J298" s="59"/>
      <c r="L298" s="59"/>
      <c r="M298" s="59"/>
    </row>
    <row r="299" spans="4:13">
      <c r="D299" s="59"/>
      <c r="J299" s="59"/>
      <c r="L299" s="59"/>
      <c r="M299" s="59"/>
    </row>
    <row r="300" spans="4:13">
      <c r="D300" s="59"/>
      <c r="J300" s="59"/>
      <c r="L300" s="59"/>
      <c r="M300" s="59"/>
    </row>
    <row r="301" spans="4:13">
      <c r="D301" s="59"/>
      <c r="J301" s="59"/>
      <c r="L301" s="59"/>
      <c r="M301" s="59"/>
    </row>
    <row r="302" spans="4:13">
      <c r="D302" s="59"/>
      <c r="J302" s="59"/>
      <c r="L302" s="59"/>
      <c r="M302" s="59"/>
    </row>
    <row r="303" spans="4:13">
      <c r="D303" s="59"/>
      <c r="J303" s="59"/>
      <c r="L303" s="59"/>
      <c r="M303" s="59"/>
    </row>
    <row r="304" spans="4:13">
      <c r="D304" s="59"/>
      <c r="J304" s="59"/>
      <c r="L304" s="59"/>
      <c r="M304" s="59"/>
    </row>
    <row r="305" spans="4:13">
      <c r="D305" s="59"/>
      <c r="J305" s="59"/>
      <c r="L305" s="59"/>
      <c r="M305" s="59"/>
    </row>
    <row r="306" spans="4:13">
      <c r="D306" s="59"/>
      <c r="J306" s="59"/>
      <c r="L306" s="59"/>
      <c r="M306" s="59"/>
    </row>
    <row r="307" spans="4:13">
      <c r="D307" s="59"/>
      <c r="J307" s="59"/>
      <c r="L307" s="59"/>
      <c r="M307" s="59"/>
    </row>
    <row r="308" spans="4:13">
      <c r="D308" s="59"/>
      <c r="J308" s="59"/>
      <c r="L308" s="59"/>
      <c r="M308" s="59"/>
    </row>
    <row r="309" spans="4:13">
      <c r="D309" s="59"/>
      <c r="J309" s="59"/>
      <c r="L309" s="59"/>
      <c r="M309" s="59"/>
    </row>
    <row r="310" spans="4:13">
      <c r="D310" s="59"/>
      <c r="J310" s="59"/>
      <c r="L310" s="59"/>
      <c r="M310" s="59"/>
    </row>
    <row r="311" spans="4:13">
      <c r="D311" s="59"/>
      <c r="J311" s="59"/>
      <c r="L311" s="59"/>
      <c r="M311" s="59"/>
    </row>
    <row r="312" spans="4:13">
      <c r="D312" s="59"/>
      <c r="J312" s="59"/>
      <c r="L312" s="59"/>
      <c r="M312" s="59"/>
    </row>
    <row r="313" spans="4:13">
      <c r="D313" s="59"/>
      <c r="J313" s="59"/>
      <c r="L313" s="59"/>
      <c r="M313" s="59"/>
    </row>
    <row r="314" spans="4:13">
      <c r="D314" s="59"/>
      <c r="J314" s="59"/>
      <c r="L314" s="59"/>
      <c r="M314" s="59"/>
    </row>
    <row r="315" spans="4:13">
      <c r="D315" s="59"/>
      <c r="J315" s="59"/>
      <c r="L315" s="59"/>
      <c r="M315" s="59"/>
    </row>
    <row r="316" spans="4:13">
      <c r="D316" s="59"/>
      <c r="J316" s="59"/>
      <c r="L316" s="59"/>
      <c r="M316" s="59"/>
    </row>
    <row r="317" spans="4:13">
      <c r="D317" s="59"/>
      <c r="J317" s="59"/>
      <c r="L317" s="59"/>
      <c r="M317" s="59"/>
    </row>
    <row r="318" spans="4:13">
      <c r="D318" s="59"/>
      <c r="J318" s="59"/>
      <c r="L318" s="59"/>
      <c r="M318" s="59"/>
    </row>
    <row r="319" spans="4:13">
      <c r="D319" s="59"/>
      <c r="J319" s="59"/>
      <c r="L319" s="59"/>
      <c r="M319" s="59"/>
    </row>
    <row r="320" spans="4:13">
      <c r="D320" s="59"/>
      <c r="J320" s="59"/>
      <c r="L320" s="59"/>
      <c r="M320" s="59"/>
    </row>
    <row r="321" spans="4:13">
      <c r="D321" s="59"/>
      <c r="J321" s="59"/>
      <c r="L321" s="59"/>
      <c r="M321" s="59"/>
    </row>
    <row r="322" spans="4:13">
      <c r="D322" s="59"/>
      <c r="J322" s="59"/>
      <c r="L322" s="59"/>
      <c r="M322" s="59"/>
    </row>
    <row r="323" spans="4:13">
      <c r="D323" s="59"/>
      <c r="J323" s="59"/>
      <c r="L323" s="59"/>
      <c r="M323" s="59"/>
    </row>
    <row r="324" spans="4:13">
      <c r="D324" s="59"/>
      <c r="J324" s="59"/>
      <c r="L324" s="59"/>
      <c r="M324" s="59"/>
    </row>
    <row r="325" spans="4:13">
      <c r="D325" s="59"/>
      <c r="J325" s="59"/>
      <c r="L325" s="59"/>
      <c r="M325" s="59"/>
    </row>
    <row r="326" spans="4:13">
      <c r="D326" s="59"/>
      <c r="J326" s="59"/>
      <c r="L326" s="59"/>
      <c r="M326" s="59"/>
    </row>
    <row r="327" spans="4:13">
      <c r="D327" s="59"/>
      <c r="J327" s="59"/>
      <c r="L327" s="59"/>
      <c r="M327" s="59"/>
    </row>
    <row r="328" spans="4:13">
      <c r="D328" s="59"/>
      <c r="J328" s="59"/>
      <c r="L328" s="59"/>
      <c r="M328" s="59"/>
    </row>
    <row r="329" spans="4:13">
      <c r="D329" s="59"/>
      <c r="J329" s="59"/>
      <c r="L329" s="59"/>
      <c r="M329" s="59"/>
    </row>
    <row r="330" spans="4:13">
      <c r="D330" s="59"/>
      <c r="J330" s="59"/>
      <c r="L330" s="59"/>
      <c r="M330" s="59"/>
    </row>
    <row r="331" spans="4:13">
      <c r="D331" s="59"/>
      <c r="J331" s="59"/>
      <c r="L331" s="59"/>
      <c r="M331" s="59"/>
    </row>
    <row r="332" spans="4:13">
      <c r="D332" s="59"/>
      <c r="J332" s="59"/>
      <c r="L332" s="59"/>
      <c r="M332" s="59"/>
    </row>
    <row r="333" spans="4:13">
      <c r="D333" s="59"/>
      <c r="J333" s="59"/>
      <c r="L333" s="59"/>
      <c r="M333" s="59"/>
    </row>
    <row r="334" spans="4:13">
      <c r="D334" s="59"/>
      <c r="J334" s="59"/>
      <c r="L334" s="59"/>
      <c r="M334" s="59"/>
    </row>
    <row r="335" spans="4:13">
      <c r="D335" s="59"/>
      <c r="J335" s="59"/>
      <c r="L335" s="59"/>
      <c r="M335" s="59"/>
    </row>
    <row r="336" spans="4:13">
      <c r="D336" s="59"/>
      <c r="J336" s="59"/>
      <c r="L336" s="59"/>
      <c r="M336" s="59"/>
    </row>
    <row r="337" spans="4:13">
      <c r="D337" s="59"/>
      <c r="J337" s="59"/>
      <c r="L337" s="59"/>
      <c r="M337" s="59"/>
    </row>
    <row r="338" spans="4:13">
      <c r="D338" s="59"/>
      <c r="J338" s="59"/>
      <c r="L338" s="59"/>
      <c r="M338" s="59"/>
    </row>
    <row r="339" spans="4:13">
      <c r="D339" s="59"/>
      <c r="J339" s="59"/>
      <c r="L339" s="59"/>
      <c r="M339" s="59"/>
    </row>
    <row r="340" spans="4:13">
      <c r="D340" s="59"/>
      <c r="J340" s="59"/>
      <c r="L340" s="59"/>
      <c r="M340" s="59"/>
    </row>
    <row r="341" spans="4:13">
      <c r="D341" s="59"/>
      <c r="J341" s="59"/>
      <c r="L341" s="59"/>
      <c r="M341" s="59"/>
    </row>
    <row r="342" spans="4:13">
      <c r="D342" s="59"/>
      <c r="J342" s="59"/>
      <c r="L342" s="59"/>
      <c r="M342" s="59"/>
    </row>
    <row r="343" spans="4:13">
      <c r="D343" s="59"/>
      <c r="J343" s="59"/>
      <c r="L343" s="59"/>
      <c r="M343" s="59"/>
    </row>
    <row r="344" spans="4:13">
      <c r="D344" s="59"/>
      <c r="J344" s="59"/>
      <c r="L344" s="59"/>
      <c r="M344" s="59"/>
    </row>
    <row r="345" spans="4:13">
      <c r="D345" s="59"/>
      <c r="J345" s="59"/>
      <c r="L345" s="59"/>
      <c r="M345" s="59"/>
    </row>
    <row r="346" spans="4:13">
      <c r="D346" s="59"/>
      <c r="J346" s="59"/>
      <c r="L346" s="59"/>
      <c r="M346" s="59"/>
    </row>
    <row r="347" spans="4:13">
      <c r="D347" s="59"/>
      <c r="J347" s="59"/>
      <c r="L347" s="59"/>
      <c r="M347" s="59"/>
    </row>
    <row r="348" spans="4:13">
      <c r="D348" s="59"/>
      <c r="J348" s="59"/>
      <c r="L348" s="59"/>
      <c r="M348" s="59"/>
    </row>
    <row r="349" spans="4:13">
      <c r="D349" s="59"/>
      <c r="J349" s="59"/>
      <c r="L349" s="59"/>
      <c r="M349" s="59"/>
    </row>
    <row r="350" spans="4:13">
      <c r="D350" s="59"/>
      <c r="J350" s="59"/>
      <c r="L350" s="59"/>
      <c r="M350" s="59"/>
    </row>
    <row r="351" spans="4:13">
      <c r="D351" s="59"/>
      <c r="J351" s="59"/>
      <c r="L351" s="59"/>
      <c r="M351" s="59"/>
    </row>
    <row r="352" spans="4:13">
      <c r="D352" s="59"/>
      <c r="J352" s="59"/>
      <c r="L352" s="59"/>
      <c r="M352" s="59"/>
    </row>
    <row r="353" spans="4:13">
      <c r="D353" s="59"/>
      <c r="J353" s="59"/>
      <c r="L353" s="59"/>
      <c r="M353" s="59"/>
    </row>
    <row r="354" spans="4:13">
      <c r="D354" s="59"/>
      <c r="J354" s="59"/>
      <c r="L354" s="59"/>
      <c r="M354" s="59"/>
    </row>
    <row r="355" spans="4:13">
      <c r="D355" s="59"/>
      <c r="J355" s="59"/>
      <c r="L355" s="59"/>
      <c r="M355" s="59"/>
    </row>
    <row r="356" spans="4:13">
      <c r="D356" s="59"/>
      <c r="J356" s="59"/>
      <c r="L356" s="59"/>
      <c r="M356" s="59"/>
    </row>
    <row r="357" spans="4:13">
      <c r="D357" s="59"/>
      <c r="J357" s="59"/>
      <c r="L357" s="59"/>
      <c r="M357" s="59"/>
    </row>
    <row r="358" spans="4:13">
      <c r="D358" s="59"/>
      <c r="J358" s="59"/>
      <c r="L358" s="59"/>
      <c r="M358" s="59"/>
    </row>
    <row r="359" spans="4:13">
      <c r="D359" s="59"/>
      <c r="J359" s="59"/>
      <c r="L359" s="59"/>
      <c r="M359" s="59"/>
    </row>
    <row r="360" spans="4:13">
      <c r="D360" s="59"/>
      <c r="J360" s="59"/>
      <c r="L360" s="59"/>
      <c r="M360" s="59"/>
    </row>
    <row r="361" spans="4:13">
      <c r="D361" s="59"/>
      <c r="J361" s="59"/>
      <c r="L361" s="59"/>
      <c r="M361" s="59"/>
    </row>
    <row r="362" spans="4:13">
      <c r="D362" s="59"/>
      <c r="J362" s="59"/>
      <c r="L362" s="59"/>
      <c r="M362" s="59"/>
    </row>
    <row r="363" spans="4:13">
      <c r="D363" s="59"/>
      <c r="J363" s="59"/>
      <c r="L363" s="59"/>
      <c r="M363" s="59"/>
    </row>
    <row r="364" spans="4:13">
      <c r="D364" s="59"/>
      <c r="J364" s="59"/>
      <c r="L364" s="59"/>
      <c r="M364" s="59"/>
    </row>
    <row r="365" spans="4:13">
      <c r="D365" s="59"/>
      <c r="J365" s="59"/>
      <c r="L365" s="59"/>
      <c r="M365" s="59"/>
    </row>
    <row r="366" spans="4:13">
      <c r="D366" s="59"/>
      <c r="J366" s="59"/>
      <c r="L366" s="59"/>
      <c r="M366" s="59"/>
    </row>
    <row r="367" spans="4:13">
      <c r="D367" s="59"/>
      <c r="J367" s="59"/>
      <c r="L367" s="59"/>
      <c r="M367" s="59"/>
    </row>
    <row r="368" spans="4:13">
      <c r="D368" s="59"/>
      <c r="J368" s="59"/>
      <c r="L368" s="59"/>
      <c r="M368" s="59"/>
    </row>
    <row r="369" spans="4:13">
      <c r="D369" s="59"/>
      <c r="J369" s="59"/>
      <c r="L369" s="59"/>
      <c r="M369" s="59"/>
    </row>
    <row r="370" spans="4:13">
      <c r="D370" s="59"/>
      <c r="J370" s="59"/>
      <c r="L370" s="59"/>
      <c r="M370" s="59"/>
    </row>
    <row r="371" spans="4:13">
      <c r="D371" s="59"/>
      <c r="J371" s="59"/>
      <c r="L371" s="59"/>
      <c r="M371" s="59"/>
    </row>
    <row r="372" spans="4:13">
      <c r="D372" s="59"/>
      <c r="J372" s="59"/>
      <c r="L372" s="59"/>
      <c r="M372" s="59"/>
    </row>
    <row r="373" spans="4:13">
      <c r="D373" s="59"/>
      <c r="J373" s="59"/>
      <c r="L373" s="59"/>
      <c r="M373" s="59"/>
    </row>
    <row r="374" spans="4:13">
      <c r="D374" s="59"/>
      <c r="J374" s="59"/>
      <c r="L374" s="59"/>
      <c r="M374" s="59"/>
    </row>
    <row r="375" spans="4:13">
      <c r="D375" s="59"/>
      <c r="J375" s="59"/>
      <c r="L375" s="59"/>
      <c r="M375" s="59"/>
    </row>
    <row r="376" spans="4:13">
      <c r="D376" s="59"/>
      <c r="J376" s="59"/>
      <c r="L376" s="59"/>
      <c r="M376" s="59"/>
    </row>
    <row r="377" spans="4:13">
      <c r="D377" s="59"/>
      <c r="J377" s="59"/>
      <c r="L377" s="59"/>
      <c r="M377" s="59"/>
    </row>
    <row r="378" spans="4:13">
      <c r="D378" s="59"/>
      <c r="J378" s="59"/>
      <c r="L378" s="59"/>
      <c r="M378" s="59"/>
    </row>
    <row r="379" spans="4:13">
      <c r="D379" s="59"/>
      <c r="J379" s="59"/>
      <c r="L379" s="59"/>
      <c r="M379" s="59"/>
    </row>
    <row r="380" spans="4:13">
      <c r="D380" s="59"/>
      <c r="J380" s="59"/>
      <c r="L380" s="59"/>
      <c r="M380" s="59"/>
    </row>
    <row r="381" spans="4:13">
      <c r="D381" s="59"/>
      <c r="J381" s="59"/>
      <c r="L381" s="59"/>
      <c r="M381" s="59"/>
    </row>
    <row r="382" spans="4:13">
      <c r="D382" s="59"/>
      <c r="J382" s="59"/>
      <c r="L382" s="59"/>
      <c r="M382" s="59"/>
    </row>
    <row r="383" spans="4:13">
      <c r="D383" s="59"/>
      <c r="J383" s="59"/>
      <c r="L383" s="59"/>
      <c r="M383" s="59"/>
    </row>
    <row r="384" spans="4:13">
      <c r="D384" s="59"/>
      <c r="J384" s="59"/>
      <c r="L384" s="59"/>
      <c r="M384" s="59"/>
    </row>
    <row r="385" spans="4:13">
      <c r="D385" s="59"/>
      <c r="J385" s="59"/>
      <c r="L385" s="59"/>
      <c r="M385" s="59"/>
    </row>
    <row r="386" spans="4:13">
      <c r="D386" s="59"/>
      <c r="J386" s="59"/>
      <c r="L386" s="59"/>
      <c r="M386" s="59"/>
    </row>
    <row r="387" spans="4:13">
      <c r="D387" s="59"/>
      <c r="J387" s="59"/>
      <c r="L387" s="59"/>
      <c r="M387" s="59"/>
    </row>
    <row r="388" spans="4:13">
      <c r="D388" s="59"/>
      <c r="J388" s="59"/>
      <c r="L388" s="59"/>
      <c r="M388" s="59"/>
    </row>
    <row r="389" spans="4:13">
      <c r="D389" s="59"/>
      <c r="J389" s="59"/>
      <c r="L389" s="59"/>
      <c r="M389" s="59"/>
    </row>
    <row r="390" spans="4:13">
      <c r="D390" s="59"/>
      <c r="J390" s="59"/>
      <c r="L390" s="59"/>
      <c r="M390" s="59"/>
    </row>
    <row r="391" spans="4:13">
      <c r="D391" s="59"/>
      <c r="J391" s="59"/>
      <c r="L391" s="59"/>
      <c r="M391" s="59"/>
    </row>
    <row r="392" spans="4:13">
      <c r="D392" s="59"/>
      <c r="J392" s="59"/>
      <c r="L392" s="59"/>
      <c r="M392" s="59"/>
    </row>
    <row r="393" spans="4:13">
      <c r="D393" s="59"/>
      <c r="J393" s="59"/>
      <c r="L393" s="59"/>
      <c r="M393" s="59"/>
    </row>
    <row r="394" spans="4:13">
      <c r="D394" s="59"/>
      <c r="J394" s="59"/>
      <c r="L394" s="59"/>
      <c r="M394" s="59"/>
    </row>
    <row r="395" spans="4:13">
      <c r="D395" s="59"/>
      <c r="J395" s="59"/>
      <c r="L395" s="59"/>
      <c r="M395" s="59"/>
    </row>
    <row r="396" spans="4:13">
      <c r="D396" s="59"/>
      <c r="J396" s="59"/>
      <c r="L396" s="59"/>
      <c r="M396" s="59"/>
    </row>
    <row r="397" spans="4:13">
      <c r="D397" s="59"/>
      <c r="J397" s="59"/>
      <c r="L397" s="59"/>
      <c r="M397" s="59"/>
    </row>
    <row r="398" spans="4:13">
      <c r="D398" s="59"/>
      <c r="J398" s="59"/>
      <c r="L398" s="59"/>
      <c r="M398" s="59"/>
    </row>
    <row r="399" spans="4:13">
      <c r="D399" s="59"/>
      <c r="J399" s="59"/>
      <c r="L399" s="59"/>
      <c r="M399" s="59"/>
    </row>
    <row r="400" spans="4:13">
      <c r="D400" s="59"/>
      <c r="J400" s="59"/>
      <c r="L400" s="59"/>
      <c r="M400" s="59"/>
    </row>
    <row r="401" spans="4:13">
      <c r="D401" s="59"/>
      <c r="J401" s="59"/>
      <c r="L401" s="59"/>
      <c r="M401" s="59"/>
    </row>
    <row r="402" spans="4:13">
      <c r="D402" s="59"/>
      <c r="J402" s="59"/>
      <c r="L402" s="59"/>
      <c r="M402" s="59"/>
    </row>
    <row r="403" spans="4:13">
      <c r="D403" s="59"/>
      <c r="J403" s="59"/>
      <c r="L403" s="59"/>
      <c r="M403" s="59"/>
    </row>
    <row r="404" spans="4:13">
      <c r="D404" s="59"/>
      <c r="J404" s="59"/>
      <c r="L404" s="59"/>
      <c r="M404" s="59"/>
    </row>
    <row r="405" spans="4:13">
      <c r="D405" s="59"/>
      <c r="J405" s="59"/>
      <c r="L405" s="59"/>
      <c r="M405" s="59"/>
    </row>
    <row r="406" spans="4:13">
      <c r="D406" s="59"/>
      <c r="J406" s="59"/>
      <c r="L406" s="59"/>
      <c r="M406" s="59"/>
    </row>
    <row r="407" spans="4:13">
      <c r="D407" s="59"/>
      <c r="J407" s="59"/>
      <c r="L407" s="59"/>
      <c r="M407" s="59"/>
    </row>
    <row r="408" spans="4:13">
      <c r="D408" s="59"/>
      <c r="J408" s="59"/>
      <c r="L408" s="59"/>
      <c r="M408" s="59"/>
    </row>
    <row r="409" spans="4:13">
      <c r="D409" s="59"/>
      <c r="J409" s="59"/>
      <c r="L409" s="59"/>
      <c r="M409" s="59"/>
    </row>
    <row r="410" spans="4:13">
      <c r="D410" s="59"/>
      <c r="J410" s="59"/>
      <c r="L410" s="59"/>
      <c r="M410" s="59"/>
    </row>
    <row r="411" spans="4:13">
      <c r="D411" s="59"/>
      <c r="J411" s="59"/>
      <c r="L411" s="59"/>
      <c r="M411" s="59"/>
    </row>
    <row r="412" spans="4:13">
      <c r="D412" s="59"/>
      <c r="J412" s="59"/>
      <c r="L412" s="59"/>
      <c r="M412" s="59"/>
    </row>
    <row r="413" spans="4:13">
      <c r="D413" s="59"/>
      <c r="J413" s="59"/>
      <c r="L413" s="59"/>
      <c r="M413" s="59"/>
    </row>
    <row r="414" spans="4:13">
      <c r="D414" s="59"/>
      <c r="J414" s="59"/>
      <c r="L414" s="59"/>
      <c r="M414" s="59"/>
    </row>
    <row r="415" spans="4:13">
      <c r="D415" s="59"/>
      <c r="J415" s="59"/>
      <c r="L415" s="59"/>
      <c r="M415" s="59"/>
    </row>
    <row r="416" spans="4:13">
      <c r="D416" s="59"/>
      <c r="J416" s="59"/>
      <c r="L416" s="59"/>
      <c r="M416" s="59"/>
    </row>
    <row r="417" spans="4:13">
      <c r="D417" s="59"/>
      <c r="J417" s="59"/>
      <c r="L417" s="59"/>
      <c r="M417" s="59"/>
    </row>
    <row r="418" spans="4:13">
      <c r="D418" s="59"/>
      <c r="J418" s="59"/>
      <c r="L418" s="59"/>
      <c r="M418" s="59"/>
    </row>
    <row r="419" spans="4:13">
      <c r="D419" s="59"/>
      <c r="J419" s="59"/>
      <c r="L419" s="59"/>
      <c r="M419" s="59"/>
    </row>
    <row r="420" spans="4:13">
      <c r="D420" s="59"/>
      <c r="J420" s="59"/>
      <c r="L420" s="59"/>
      <c r="M420" s="59"/>
    </row>
    <row r="421" spans="4:13">
      <c r="D421" s="59"/>
      <c r="J421" s="59"/>
      <c r="L421" s="59"/>
      <c r="M421" s="59"/>
    </row>
    <row r="422" spans="4:13">
      <c r="D422" s="59"/>
      <c r="J422" s="59"/>
      <c r="L422" s="59"/>
      <c r="M422" s="59"/>
    </row>
    <row r="423" spans="4:13">
      <c r="D423" s="59"/>
      <c r="J423" s="59"/>
      <c r="L423" s="59"/>
      <c r="M423" s="59"/>
    </row>
    <row r="424" spans="4:13">
      <c r="D424" s="59"/>
      <c r="J424" s="59"/>
      <c r="L424" s="59"/>
      <c r="M424" s="59"/>
    </row>
    <row r="425" spans="4:13">
      <c r="D425" s="59"/>
      <c r="J425" s="59"/>
      <c r="L425" s="59"/>
      <c r="M425" s="59"/>
    </row>
    <row r="426" spans="4:13">
      <c r="D426" s="59"/>
      <c r="J426" s="59"/>
      <c r="L426" s="59"/>
      <c r="M426" s="59"/>
    </row>
    <row r="427" spans="4:13">
      <c r="D427" s="59"/>
      <c r="J427" s="59"/>
      <c r="L427" s="59"/>
      <c r="M427" s="59"/>
    </row>
    <row r="428" spans="4:13">
      <c r="D428" s="59"/>
      <c r="J428" s="59"/>
      <c r="L428" s="59"/>
      <c r="M428" s="59"/>
    </row>
    <row r="429" spans="4:13">
      <c r="D429" s="59"/>
      <c r="J429" s="59"/>
      <c r="L429" s="59"/>
      <c r="M429" s="59"/>
    </row>
    <row r="430" spans="4:13">
      <c r="D430" s="59"/>
      <c r="J430" s="59"/>
      <c r="L430" s="59"/>
      <c r="M430" s="59"/>
    </row>
    <row r="431" spans="4:13">
      <c r="D431" s="59"/>
      <c r="J431" s="59"/>
      <c r="L431" s="59"/>
      <c r="M431" s="59"/>
    </row>
    <row r="432" spans="4:13">
      <c r="D432" s="59"/>
      <c r="J432" s="59"/>
      <c r="L432" s="59"/>
      <c r="M432" s="59"/>
    </row>
    <row r="433" spans="4:13">
      <c r="D433" s="59"/>
      <c r="J433" s="59"/>
      <c r="L433" s="59"/>
      <c r="M433" s="59"/>
    </row>
    <row r="434" spans="4:13">
      <c r="D434" s="59"/>
      <c r="J434" s="59"/>
      <c r="L434" s="59"/>
      <c r="M434" s="59"/>
    </row>
    <row r="435" spans="4:13">
      <c r="D435" s="59"/>
      <c r="J435" s="59"/>
      <c r="L435" s="59"/>
      <c r="M435" s="59"/>
    </row>
    <row r="436" spans="4:13">
      <c r="D436" s="59"/>
      <c r="J436" s="59"/>
      <c r="L436" s="59"/>
      <c r="M436" s="59"/>
    </row>
    <row r="437" spans="4:13">
      <c r="D437" s="59"/>
      <c r="J437" s="59"/>
      <c r="L437" s="59"/>
      <c r="M437" s="59"/>
    </row>
    <row r="438" spans="4:13">
      <c r="D438" s="59"/>
      <c r="J438" s="59"/>
      <c r="L438" s="59"/>
      <c r="M438" s="59"/>
    </row>
    <row r="439" spans="4:13">
      <c r="D439" s="59"/>
      <c r="J439" s="59"/>
      <c r="L439" s="59"/>
      <c r="M439" s="59"/>
    </row>
    <row r="440" spans="4:13">
      <c r="D440" s="59"/>
      <c r="J440" s="59"/>
      <c r="L440" s="59"/>
      <c r="M440" s="59"/>
    </row>
    <row r="441" spans="4:13">
      <c r="D441" s="59"/>
      <c r="J441" s="59"/>
      <c r="L441" s="59"/>
      <c r="M441" s="59"/>
    </row>
    <row r="442" spans="4:13">
      <c r="D442" s="59"/>
      <c r="J442" s="59"/>
      <c r="L442" s="59"/>
      <c r="M442" s="59"/>
    </row>
    <row r="443" spans="4:13">
      <c r="D443" s="59"/>
      <c r="J443" s="59"/>
      <c r="L443" s="59"/>
      <c r="M443" s="59"/>
    </row>
    <row r="444" spans="4:13">
      <c r="D444" s="59"/>
      <c r="J444" s="59"/>
      <c r="L444" s="59"/>
      <c r="M444" s="59"/>
    </row>
    <row r="445" spans="4:13">
      <c r="D445" s="59"/>
      <c r="J445" s="59"/>
      <c r="L445" s="59"/>
      <c r="M445" s="59"/>
    </row>
    <row r="446" spans="4:13">
      <c r="D446" s="59"/>
      <c r="J446" s="59"/>
      <c r="L446" s="59"/>
      <c r="M446" s="59"/>
    </row>
    <row r="447" spans="4:13">
      <c r="D447" s="59"/>
      <c r="J447" s="59"/>
      <c r="L447" s="59"/>
      <c r="M447" s="59"/>
    </row>
    <row r="448" spans="4:13">
      <c r="D448" s="59"/>
      <c r="J448" s="59"/>
      <c r="L448" s="59"/>
      <c r="M448" s="59"/>
    </row>
    <row r="449" spans="4:13">
      <c r="D449" s="59"/>
      <c r="J449" s="59"/>
      <c r="L449" s="59"/>
      <c r="M449" s="59"/>
    </row>
    <row r="450" spans="4:13">
      <c r="D450" s="59"/>
      <c r="J450" s="59"/>
      <c r="L450" s="59"/>
      <c r="M450" s="59"/>
    </row>
    <row r="451" spans="4:13">
      <c r="D451" s="59"/>
      <c r="J451" s="59"/>
      <c r="L451" s="59"/>
      <c r="M451" s="59"/>
    </row>
    <row r="452" spans="4:13">
      <c r="D452" s="59"/>
      <c r="J452" s="59"/>
      <c r="L452" s="59"/>
      <c r="M452" s="59"/>
    </row>
    <row r="453" spans="4:13">
      <c r="D453" s="59"/>
      <c r="J453" s="59"/>
      <c r="L453" s="59"/>
      <c r="M453" s="59"/>
    </row>
    <row r="454" spans="4:13">
      <c r="D454" s="59"/>
      <c r="J454" s="59"/>
      <c r="L454" s="59"/>
      <c r="M454" s="59"/>
    </row>
    <row r="455" spans="4:13">
      <c r="D455" s="59"/>
      <c r="J455" s="59"/>
      <c r="L455" s="59"/>
      <c r="M455" s="59"/>
    </row>
    <row r="456" spans="4:13">
      <c r="D456" s="59"/>
      <c r="J456" s="59"/>
      <c r="L456" s="59"/>
      <c r="M456" s="59"/>
    </row>
    <row r="457" spans="4:13">
      <c r="D457" s="59"/>
      <c r="J457" s="59"/>
      <c r="L457" s="59"/>
      <c r="M457" s="59"/>
    </row>
    <row r="458" spans="4:13">
      <c r="D458" s="59"/>
      <c r="J458" s="59"/>
      <c r="L458" s="59"/>
      <c r="M458" s="59"/>
    </row>
    <row r="459" spans="4:13">
      <c r="D459" s="59"/>
      <c r="J459" s="59"/>
      <c r="L459" s="59"/>
      <c r="M459" s="59"/>
    </row>
    <row r="460" spans="4:13">
      <c r="D460" s="59"/>
      <c r="J460" s="59"/>
      <c r="L460" s="59"/>
      <c r="M460" s="59"/>
    </row>
    <row r="461" spans="4:13">
      <c r="D461" s="59"/>
      <c r="J461" s="59"/>
      <c r="L461" s="59"/>
      <c r="M461" s="59"/>
    </row>
    <row r="462" spans="4:13">
      <c r="D462" s="59"/>
      <c r="J462" s="59"/>
      <c r="L462" s="59"/>
      <c r="M462" s="59"/>
    </row>
    <row r="463" spans="4:13">
      <c r="D463" s="59"/>
      <c r="J463" s="59"/>
      <c r="L463" s="59"/>
      <c r="M463" s="59"/>
    </row>
    <row r="464" spans="4:13">
      <c r="D464" s="59"/>
      <c r="J464" s="59"/>
      <c r="L464" s="59"/>
      <c r="M464" s="59"/>
    </row>
    <row r="465" spans="4:13">
      <c r="D465" s="59"/>
      <c r="J465" s="59"/>
      <c r="L465" s="59"/>
      <c r="M465" s="59"/>
    </row>
    <row r="466" spans="4:13">
      <c r="D466" s="59"/>
      <c r="J466" s="59"/>
      <c r="L466" s="59"/>
      <c r="M466" s="59"/>
    </row>
    <row r="467" spans="4:13">
      <c r="D467" s="59"/>
      <c r="J467" s="59"/>
      <c r="L467" s="59"/>
      <c r="M467" s="59"/>
    </row>
    <row r="468" spans="4:13">
      <c r="D468" s="59"/>
      <c r="J468" s="59"/>
      <c r="L468" s="59"/>
      <c r="M468" s="59"/>
    </row>
    <row r="469" spans="4:13">
      <c r="D469" s="59"/>
      <c r="J469" s="59"/>
      <c r="L469" s="59"/>
      <c r="M469" s="59"/>
    </row>
    <row r="470" spans="4:13">
      <c r="D470" s="59"/>
      <c r="J470" s="59"/>
      <c r="L470" s="59"/>
      <c r="M470" s="59"/>
    </row>
    <row r="471" spans="4:13">
      <c r="D471" s="59"/>
      <c r="J471" s="59"/>
      <c r="L471" s="59"/>
      <c r="M471" s="59"/>
    </row>
    <row r="472" spans="4:13">
      <c r="D472" s="59"/>
      <c r="J472" s="59"/>
      <c r="L472" s="59"/>
      <c r="M472" s="59"/>
    </row>
    <row r="473" spans="4:13">
      <c r="D473" s="59"/>
      <c r="J473" s="59"/>
      <c r="L473" s="59"/>
      <c r="M473" s="59"/>
    </row>
    <row r="474" spans="4:13">
      <c r="D474" s="59"/>
      <c r="J474" s="59"/>
      <c r="L474" s="59"/>
      <c r="M474" s="59"/>
    </row>
    <row r="475" spans="4:13">
      <c r="D475" s="59"/>
      <c r="J475" s="59"/>
      <c r="L475" s="59"/>
      <c r="M475" s="59"/>
    </row>
    <row r="476" spans="4:13">
      <c r="D476" s="59"/>
      <c r="J476" s="59"/>
      <c r="L476" s="59"/>
      <c r="M476" s="59"/>
    </row>
    <row r="477" spans="4:13">
      <c r="D477" s="59"/>
      <c r="J477" s="59"/>
      <c r="L477" s="59"/>
      <c r="M477" s="59"/>
    </row>
    <row r="478" spans="4:13">
      <c r="D478" s="59"/>
      <c r="J478" s="59"/>
      <c r="L478" s="59"/>
      <c r="M478" s="59"/>
    </row>
    <row r="479" spans="4:13">
      <c r="D479" s="59"/>
      <c r="J479" s="59"/>
      <c r="L479" s="59"/>
      <c r="M479" s="59"/>
    </row>
    <row r="480" spans="4:13">
      <c r="D480" s="59"/>
      <c r="J480" s="59"/>
      <c r="L480" s="59"/>
      <c r="M480" s="59"/>
    </row>
    <row r="481" spans="4:13">
      <c r="D481" s="59"/>
      <c r="J481" s="59"/>
      <c r="L481" s="59"/>
      <c r="M481" s="59"/>
    </row>
    <row r="482" spans="4:13">
      <c r="D482" s="59"/>
      <c r="J482" s="59"/>
      <c r="L482" s="59"/>
      <c r="M482" s="59"/>
    </row>
    <row r="483" spans="4:13">
      <c r="D483" s="59"/>
      <c r="J483" s="59"/>
      <c r="L483" s="59"/>
      <c r="M483" s="59"/>
    </row>
    <row r="484" spans="4:13">
      <c r="D484" s="59"/>
      <c r="J484" s="59"/>
      <c r="L484" s="59"/>
      <c r="M484" s="59"/>
    </row>
    <row r="485" spans="4:13">
      <c r="D485" s="59"/>
      <c r="J485" s="59"/>
      <c r="L485" s="59"/>
      <c r="M485" s="59"/>
    </row>
    <row r="486" spans="4:13">
      <c r="D486" s="59"/>
      <c r="J486" s="59"/>
      <c r="L486" s="59"/>
      <c r="M486" s="59"/>
    </row>
    <row r="487" spans="4:13">
      <c r="D487" s="59"/>
      <c r="J487" s="59"/>
      <c r="L487" s="59"/>
      <c r="M487" s="59"/>
    </row>
    <row r="488" spans="4:13">
      <c r="D488" s="59"/>
      <c r="J488" s="59"/>
      <c r="L488" s="59"/>
      <c r="M488" s="59"/>
    </row>
    <row r="489" spans="4:13">
      <c r="D489" s="59"/>
      <c r="J489" s="59"/>
      <c r="L489" s="59"/>
      <c r="M489" s="59"/>
    </row>
    <row r="490" spans="4:13">
      <c r="D490" s="59"/>
      <c r="J490" s="59"/>
      <c r="L490" s="59"/>
      <c r="M490" s="59"/>
    </row>
    <row r="491" spans="4:13">
      <c r="D491" s="59"/>
      <c r="J491" s="59"/>
      <c r="L491" s="59"/>
      <c r="M491" s="59"/>
    </row>
    <row r="492" spans="4:13">
      <c r="D492" s="59"/>
      <c r="J492" s="59"/>
      <c r="L492" s="59"/>
      <c r="M492" s="59"/>
    </row>
    <row r="493" spans="4:13">
      <c r="D493" s="59"/>
      <c r="J493" s="59"/>
      <c r="L493" s="59"/>
      <c r="M493" s="59"/>
    </row>
    <row r="494" spans="4:13">
      <c r="D494" s="59"/>
      <c r="J494" s="59"/>
      <c r="L494" s="59"/>
      <c r="M494" s="59"/>
    </row>
    <row r="495" spans="4:13">
      <c r="D495" s="59"/>
      <c r="J495" s="59"/>
      <c r="L495" s="59"/>
      <c r="M495" s="59"/>
    </row>
    <row r="496" spans="4:13">
      <c r="D496" s="59"/>
      <c r="J496" s="59"/>
      <c r="L496" s="59"/>
      <c r="M496" s="59"/>
    </row>
    <row r="497" spans="4:13">
      <c r="D497" s="59"/>
      <c r="J497" s="59"/>
      <c r="L497" s="59"/>
      <c r="M497" s="59"/>
    </row>
    <row r="498" spans="4:13">
      <c r="D498" s="59"/>
      <c r="J498" s="59"/>
      <c r="L498" s="59"/>
      <c r="M498" s="59"/>
    </row>
    <row r="499" spans="4:13">
      <c r="D499" s="59"/>
      <c r="J499" s="59"/>
      <c r="L499" s="59"/>
      <c r="M499" s="59"/>
    </row>
    <row r="500" spans="4:13">
      <c r="D500" s="59"/>
      <c r="J500" s="59"/>
      <c r="L500" s="59"/>
      <c r="M500" s="59"/>
    </row>
    <row r="501" spans="4:13">
      <c r="D501" s="59"/>
      <c r="J501" s="59"/>
      <c r="L501" s="59"/>
      <c r="M501" s="59"/>
    </row>
    <row r="502" spans="4:13">
      <c r="D502" s="59"/>
      <c r="J502" s="59"/>
      <c r="L502" s="59"/>
      <c r="M502" s="59"/>
    </row>
    <row r="503" spans="4:13">
      <c r="D503" s="59"/>
      <c r="J503" s="59"/>
      <c r="L503" s="59"/>
      <c r="M503" s="59"/>
    </row>
    <row r="504" spans="4:13">
      <c r="D504" s="59"/>
      <c r="J504" s="59"/>
      <c r="L504" s="59"/>
      <c r="M504" s="59"/>
    </row>
    <row r="505" spans="4:13">
      <c r="D505" s="59"/>
      <c r="J505" s="59"/>
      <c r="L505" s="59"/>
      <c r="M505" s="59"/>
    </row>
    <row r="506" spans="4:13">
      <c r="D506" s="59"/>
      <c r="J506" s="59"/>
      <c r="L506" s="59"/>
      <c r="M506" s="59"/>
    </row>
    <row r="507" spans="4:13">
      <c r="D507" s="59"/>
      <c r="J507" s="59"/>
      <c r="L507" s="59"/>
      <c r="M507" s="59"/>
    </row>
    <row r="508" spans="4:13">
      <c r="D508" s="59"/>
      <c r="J508" s="59"/>
      <c r="L508" s="59"/>
      <c r="M508" s="59"/>
    </row>
    <row r="509" spans="4:13">
      <c r="D509" s="59"/>
      <c r="J509" s="59"/>
      <c r="L509" s="59"/>
      <c r="M509" s="59"/>
    </row>
    <row r="510" spans="4:13">
      <c r="D510" s="59"/>
      <c r="J510" s="59"/>
      <c r="L510" s="59"/>
      <c r="M510" s="59"/>
    </row>
    <row r="511" spans="4:13">
      <c r="D511" s="59"/>
      <c r="J511" s="59"/>
      <c r="L511" s="59"/>
      <c r="M511" s="59"/>
    </row>
    <row r="512" spans="4:13">
      <c r="D512" s="59"/>
      <c r="J512" s="59"/>
      <c r="L512" s="59"/>
      <c r="M512" s="59"/>
    </row>
    <row r="513" spans="4:13">
      <c r="D513" s="59"/>
      <c r="J513" s="59"/>
      <c r="L513" s="59"/>
      <c r="M513" s="59"/>
    </row>
    <row r="514" spans="4:13">
      <c r="D514" s="59"/>
      <c r="J514" s="59"/>
      <c r="L514" s="59"/>
      <c r="M514" s="59"/>
    </row>
    <row r="515" spans="4:13">
      <c r="D515" s="59"/>
      <c r="J515" s="59"/>
      <c r="L515" s="59"/>
      <c r="M515" s="59"/>
    </row>
    <row r="516" spans="4:13">
      <c r="D516" s="59"/>
      <c r="J516" s="59"/>
      <c r="L516" s="59"/>
      <c r="M516" s="59"/>
    </row>
    <row r="517" spans="4:13">
      <c r="D517" s="59"/>
      <c r="J517" s="59"/>
      <c r="L517" s="59"/>
      <c r="M517" s="59"/>
    </row>
    <row r="518" spans="4:13">
      <c r="D518" s="59"/>
      <c r="J518" s="59"/>
      <c r="L518" s="59"/>
      <c r="M518" s="59"/>
    </row>
    <row r="519" spans="4:13">
      <c r="D519" s="59"/>
      <c r="J519" s="59"/>
      <c r="L519" s="59"/>
      <c r="M519" s="59"/>
    </row>
    <row r="520" spans="4:13">
      <c r="D520" s="59"/>
      <c r="J520" s="59"/>
      <c r="L520" s="59"/>
      <c r="M520" s="59"/>
    </row>
    <row r="521" spans="4:13">
      <c r="D521" s="59"/>
      <c r="J521" s="59"/>
      <c r="L521" s="59"/>
      <c r="M521" s="59"/>
    </row>
    <row r="522" spans="4:13">
      <c r="D522" s="59"/>
      <c r="J522" s="59"/>
      <c r="L522" s="59"/>
      <c r="M522" s="59"/>
    </row>
    <row r="523" spans="4:13">
      <c r="D523" s="59"/>
      <c r="J523" s="59"/>
      <c r="L523" s="59"/>
      <c r="M523" s="59"/>
    </row>
    <row r="524" spans="4:13">
      <c r="D524" s="59"/>
      <c r="J524" s="59"/>
      <c r="L524" s="59"/>
      <c r="M524" s="59"/>
    </row>
    <row r="525" spans="4:13">
      <c r="D525" s="59"/>
      <c r="J525" s="59"/>
      <c r="L525" s="59"/>
      <c r="M525" s="59"/>
    </row>
    <row r="526" spans="4:13">
      <c r="D526" s="59"/>
      <c r="J526" s="59"/>
      <c r="L526" s="59"/>
      <c r="M526" s="59"/>
    </row>
    <row r="527" spans="4:13">
      <c r="D527" s="59"/>
      <c r="J527" s="59"/>
      <c r="L527" s="59"/>
      <c r="M527" s="59"/>
    </row>
    <row r="528" spans="4:13">
      <c r="D528" s="59"/>
      <c r="J528" s="59"/>
      <c r="L528" s="59"/>
      <c r="M528" s="59"/>
    </row>
    <row r="529" spans="4:13">
      <c r="D529" s="59"/>
      <c r="J529" s="59"/>
      <c r="L529" s="59"/>
      <c r="M529" s="59"/>
    </row>
    <row r="530" spans="4:13">
      <c r="D530" s="59"/>
      <c r="J530" s="59"/>
      <c r="L530" s="59"/>
      <c r="M530" s="59"/>
    </row>
    <row r="531" spans="4:13">
      <c r="D531" s="59"/>
      <c r="J531" s="59"/>
      <c r="L531" s="59"/>
      <c r="M531" s="59"/>
    </row>
    <row r="532" spans="4:13">
      <c r="D532" s="59"/>
      <c r="J532" s="59"/>
      <c r="L532" s="59"/>
      <c r="M532" s="59"/>
    </row>
    <row r="533" spans="4:13">
      <c r="D533" s="59"/>
      <c r="J533" s="59"/>
      <c r="L533" s="59"/>
      <c r="M533" s="59"/>
    </row>
    <row r="534" spans="4:13">
      <c r="D534" s="59"/>
      <c r="J534" s="59"/>
      <c r="L534" s="59"/>
      <c r="M534" s="59"/>
    </row>
    <row r="535" spans="4:13">
      <c r="D535" s="59"/>
      <c r="J535" s="59"/>
      <c r="L535" s="59"/>
      <c r="M535" s="59"/>
    </row>
    <row r="536" spans="4:13">
      <c r="D536" s="59"/>
      <c r="J536" s="59"/>
      <c r="L536" s="59"/>
      <c r="M536" s="59"/>
    </row>
    <row r="537" spans="4:13">
      <c r="D537" s="59"/>
      <c r="J537" s="59"/>
      <c r="L537" s="59"/>
      <c r="M537" s="59"/>
    </row>
    <row r="538" spans="4:13">
      <c r="D538" s="59"/>
      <c r="J538" s="59"/>
      <c r="L538" s="59"/>
      <c r="M538" s="59"/>
    </row>
    <row r="539" spans="4:13">
      <c r="D539" s="59"/>
      <c r="J539" s="59"/>
      <c r="L539" s="59"/>
      <c r="M539" s="59"/>
    </row>
    <row r="540" spans="4:13">
      <c r="D540" s="59"/>
      <c r="J540" s="59"/>
      <c r="L540" s="59"/>
      <c r="M540" s="59"/>
    </row>
    <row r="541" spans="4:13">
      <c r="D541" s="59"/>
      <c r="J541" s="59"/>
      <c r="L541" s="59"/>
      <c r="M541" s="59"/>
    </row>
    <row r="542" spans="4:13">
      <c r="D542" s="59"/>
      <c r="J542" s="59"/>
      <c r="L542" s="59"/>
      <c r="M542" s="59"/>
    </row>
    <row r="543" spans="4:13">
      <c r="D543" s="59"/>
      <c r="J543" s="59"/>
      <c r="L543" s="59"/>
      <c r="M543" s="59"/>
    </row>
    <row r="544" spans="4:13">
      <c r="D544" s="59"/>
      <c r="J544" s="59"/>
      <c r="L544" s="59"/>
      <c r="M544" s="59"/>
    </row>
    <row r="545" spans="4:13">
      <c r="D545" s="59"/>
      <c r="J545" s="59"/>
      <c r="L545" s="59"/>
      <c r="M545" s="59"/>
    </row>
    <row r="546" spans="4:13">
      <c r="D546" s="59"/>
      <c r="J546" s="59"/>
      <c r="L546" s="59"/>
      <c r="M546" s="59"/>
    </row>
    <row r="547" spans="4:13">
      <c r="D547" s="59"/>
      <c r="J547" s="59"/>
      <c r="L547" s="59"/>
      <c r="M547" s="59"/>
    </row>
    <row r="548" spans="4:13">
      <c r="D548" s="59"/>
      <c r="J548" s="59"/>
      <c r="L548" s="59"/>
      <c r="M548" s="59"/>
    </row>
    <row r="549" spans="4:13">
      <c r="D549" s="59"/>
      <c r="J549" s="59"/>
      <c r="L549" s="59"/>
      <c r="M549" s="59"/>
    </row>
    <row r="550" spans="4:13">
      <c r="D550" s="59"/>
      <c r="J550" s="59"/>
      <c r="L550" s="59"/>
      <c r="M550" s="59"/>
    </row>
    <row r="551" spans="4:13">
      <c r="D551" s="59"/>
      <c r="J551" s="59"/>
      <c r="L551" s="59"/>
      <c r="M551" s="59"/>
    </row>
    <row r="552" spans="4:13">
      <c r="D552" s="59"/>
      <c r="J552" s="59"/>
      <c r="L552" s="59"/>
      <c r="M552" s="59"/>
    </row>
    <row r="553" spans="4:13">
      <c r="D553" s="59"/>
      <c r="J553" s="59"/>
      <c r="L553" s="59"/>
      <c r="M553" s="59"/>
    </row>
    <row r="554" spans="4:13">
      <c r="D554" s="59"/>
      <c r="J554" s="59"/>
      <c r="L554" s="59"/>
      <c r="M554" s="59"/>
    </row>
    <row r="555" spans="4:13">
      <c r="D555" s="59"/>
      <c r="J555" s="59"/>
      <c r="L555" s="59"/>
      <c r="M555" s="59"/>
    </row>
    <row r="556" spans="4:13">
      <c r="D556" s="59"/>
      <c r="J556" s="59"/>
      <c r="L556" s="59"/>
      <c r="M556" s="59"/>
    </row>
    <row r="557" spans="4:13">
      <c r="D557" s="59"/>
      <c r="J557" s="59"/>
      <c r="L557" s="59"/>
      <c r="M557" s="59"/>
    </row>
    <row r="558" spans="4:13">
      <c r="D558" s="59"/>
      <c r="J558" s="59"/>
      <c r="L558" s="59"/>
      <c r="M558" s="59"/>
    </row>
    <row r="559" spans="4:13">
      <c r="D559" s="59"/>
      <c r="J559" s="59"/>
      <c r="L559" s="59"/>
      <c r="M559" s="59"/>
    </row>
    <row r="560" spans="4:13">
      <c r="D560" s="59"/>
      <c r="J560" s="59"/>
      <c r="L560" s="59"/>
      <c r="M560" s="59"/>
    </row>
    <row r="561" spans="4:13">
      <c r="D561" s="59"/>
      <c r="J561" s="59"/>
      <c r="L561" s="59"/>
      <c r="M561" s="59"/>
    </row>
    <row r="562" spans="4:13">
      <c r="D562" s="59"/>
      <c r="J562" s="59"/>
      <c r="L562" s="59"/>
      <c r="M562" s="59"/>
    </row>
    <row r="563" spans="4:13">
      <c r="D563" s="59"/>
      <c r="J563" s="59"/>
      <c r="L563" s="59"/>
      <c r="M563" s="59"/>
    </row>
    <row r="564" spans="4:13">
      <c r="D564" s="59"/>
      <c r="J564" s="59"/>
      <c r="L564" s="59"/>
      <c r="M564" s="59"/>
    </row>
    <row r="565" spans="4:13">
      <c r="D565" s="59"/>
      <c r="J565" s="59"/>
      <c r="L565" s="59"/>
      <c r="M565" s="59"/>
    </row>
    <row r="566" spans="4:13">
      <c r="D566" s="59"/>
      <c r="J566" s="59"/>
      <c r="L566" s="59"/>
      <c r="M566" s="59"/>
    </row>
    <row r="567" spans="4:13">
      <c r="D567" s="59"/>
      <c r="J567" s="59"/>
      <c r="L567" s="59"/>
      <c r="M567" s="59"/>
    </row>
    <row r="568" spans="4:13">
      <c r="D568" s="59"/>
      <c r="J568" s="59"/>
      <c r="L568" s="59"/>
      <c r="M568" s="59"/>
    </row>
    <row r="569" spans="4:13">
      <c r="D569" s="59"/>
      <c r="J569" s="59"/>
      <c r="L569" s="59"/>
      <c r="M569" s="59"/>
    </row>
    <row r="570" spans="4:13">
      <c r="D570" s="59"/>
      <c r="J570" s="59"/>
      <c r="L570" s="59"/>
      <c r="M570" s="59"/>
    </row>
    <row r="571" spans="4:13">
      <c r="D571" s="59"/>
      <c r="J571" s="59"/>
      <c r="L571" s="59"/>
      <c r="M571" s="59"/>
    </row>
    <row r="572" spans="4:13">
      <c r="D572" s="59"/>
      <c r="J572" s="59"/>
      <c r="L572" s="59"/>
      <c r="M572" s="59"/>
    </row>
    <row r="573" spans="4:13">
      <c r="D573" s="59"/>
      <c r="J573" s="59"/>
      <c r="L573" s="59"/>
      <c r="M573" s="59"/>
    </row>
    <row r="574" spans="4:13">
      <c r="D574" s="59"/>
      <c r="J574" s="59"/>
      <c r="L574" s="59"/>
      <c r="M574" s="59"/>
    </row>
    <row r="575" spans="4:13">
      <c r="D575" s="59"/>
      <c r="J575" s="59"/>
      <c r="L575" s="59"/>
      <c r="M575" s="59"/>
    </row>
    <row r="576" spans="4:13">
      <c r="D576" s="59"/>
      <c r="J576" s="59"/>
      <c r="L576" s="59"/>
      <c r="M576" s="59"/>
    </row>
    <row r="577" spans="4:13">
      <c r="D577" s="59"/>
      <c r="J577" s="59"/>
      <c r="L577" s="59"/>
      <c r="M577" s="59"/>
    </row>
    <row r="578" spans="4:13">
      <c r="D578" s="59"/>
      <c r="J578" s="59"/>
      <c r="L578" s="59"/>
      <c r="M578" s="59"/>
    </row>
    <row r="579" spans="4:13">
      <c r="D579" s="59"/>
      <c r="J579" s="59"/>
      <c r="L579" s="59"/>
      <c r="M579" s="59"/>
    </row>
    <row r="580" spans="4:13">
      <c r="D580" s="59"/>
      <c r="J580" s="59"/>
      <c r="L580" s="59"/>
      <c r="M580" s="59"/>
    </row>
    <row r="581" spans="4:13">
      <c r="D581" s="59"/>
      <c r="J581" s="59"/>
      <c r="L581" s="59"/>
      <c r="M581" s="59"/>
    </row>
    <row r="582" spans="4:13">
      <c r="D582" s="59"/>
      <c r="J582" s="59"/>
      <c r="L582" s="59"/>
      <c r="M582" s="59"/>
    </row>
    <row r="583" spans="4:13">
      <c r="D583" s="59"/>
      <c r="J583" s="59"/>
      <c r="L583" s="59"/>
      <c r="M583" s="59"/>
    </row>
    <row r="584" spans="4:13">
      <c r="D584" s="59"/>
      <c r="J584" s="59"/>
      <c r="L584" s="59"/>
      <c r="M584" s="59"/>
    </row>
    <row r="585" spans="4:13">
      <c r="D585" s="59"/>
      <c r="J585" s="59"/>
      <c r="L585" s="59"/>
      <c r="M585" s="59"/>
    </row>
    <row r="586" spans="4:13">
      <c r="D586" s="59"/>
      <c r="J586" s="59"/>
      <c r="L586" s="59"/>
      <c r="M586" s="59"/>
    </row>
    <row r="587" spans="4:13">
      <c r="D587" s="59"/>
      <c r="J587" s="59"/>
      <c r="L587" s="59"/>
      <c r="M587" s="59"/>
    </row>
    <row r="588" spans="4:13">
      <c r="D588" s="59"/>
      <c r="J588" s="59"/>
      <c r="L588" s="59"/>
      <c r="M588" s="59"/>
    </row>
    <row r="589" spans="4:13">
      <c r="D589" s="59"/>
      <c r="J589" s="59"/>
      <c r="L589" s="59"/>
      <c r="M589" s="59"/>
    </row>
    <row r="590" spans="4:13">
      <c r="D590" s="59"/>
      <c r="J590" s="59"/>
      <c r="L590" s="59"/>
      <c r="M590" s="59"/>
    </row>
    <row r="591" spans="4:13">
      <c r="D591" s="59"/>
      <c r="J591" s="59"/>
      <c r="L591" s="59"/>
      <c r="M591" s="59"/>
    </row>
    <row r="592" spans="4:13">
      <c r="D592" s="59"/>
      <c r="J592" s="59"/>
      <c r="L592" s="59"/>
      <c r="M592" s="59"/>
    </row>
    <row r="593" spans="4:13">
      <c r="D593" s="59"/>
      <c r="J593" s="59"/>
      <c r="L593" s="59"/>
      <c r="M593" s="59"/>
    </row>
    <row r="594" spans="4:13">
      <c r="D594" s="59"/>
      <c r="J594" s="59"/>
      <c r="L594" s="59"/>
      <c r="M594" s="59"/>
    </row>
    <row r="595" spans="4:13">
      <c r="D595" s="59"/>
      <c r="J595" s="59"/>
      <c r="L595" s="59"/>
      <c r="M595" s="59"/>
    </row>
    <row r="596" spans="4:13">
      <c r="D596" s="59"/>
      <c r="J596" s="59"/>
      <c r="L596" s="59"/>
      <c r="M596" s="59"/>
    </row>
    <row r="597" spans="4:13">
      <c r="D597" s="59"/>
      <c r="J597" s="59"/>
      <c r="L597" s="59"/>
      <c r="M597" s="59"/>
    </row>
    <row r="598" spans="4:13">
      <c r="D598" s="59"/>
      <c r="J598" s="59"/>
      <c r="L598" s="59"/>
      <c r="M598" s="59"/>
    </row>
    <row r="599" spans="4:13">
      <c r="D599" s="59"/>
      <c r="J599" s="59"/>
      <c r="L599" s="59"/>
      <c r="M599" s="59"/>
    </row>
    <row r="600" spans="4:13">
      <c r="D600" s="59"/>
      <c r="J600" s="59"/>
      <c r="L600" s="59"/>
      <c r="M600" s="59"/>
    </row>
    <row r="601" spans="4:13">
      <c r="D601" s="59"/>
      <c r="J601" s="59"/>
      <c r="L601" s="59"/>
      <c r="M601" s="59"/>
    </row>
    <row r="602" spans="4:13">
      <c r="D602" s="59"/>
      <c r="J602" s="59"/>
      <c r="L602" s="59"/>
      <c r="M602" s="59"/>
    </row>
    <row r="603" spans="4:13">
      <c r="D603" s="59"/>
      <c r="J603" s="59"/>
      <c r="L603" s="59"/>
      <c r="M603" s="59"/>
    </row>
    <row r="604" spans="4:13">
      <c r="D604" s="59"/>
      <c r="J604" s="59"/>
      <c r="L604" s="59"/>
      <c r="M604" s="59"/>
    </row>
    <row r="605" spans="4:13">
      <c r="D605" s="59"/>
      <c r="J605" s="59"/>
      <c r="L605" s="59"/>
      <c r="M605" s="59"/>
    </row>
    <row r="606" spans="4:13">
      <c r="D606" s="59"/>
      <c r="J606" s="59"/>
      <c r="L606" s="59"/>
      <c r="M606" s="59"/>
    </row>
    <row r="607" spans="4:13">
      <c r="D607" s="59"/>
      <c r="J607" s="59"/>
      <c r="L607" s="59"/>
      <c r="M607" s="59"/>
    </row>
    <row r="608" spans="4:13">
      <c r="D608" s="59"/>
      <c r="J608" s="59"/>
      <c r="L608" s="59"/>
      <c r="M608" s="59"/>
    </row>
    <row r="609" spans="4:13">
      <c r="D609" s="59"/>
      <c r="J609" s="59"/>
      <c r="L609" s="59"/>
      <c r="M609" s="59"/>
    </row>
    <row r="610" spans="4:13">
      <c r="D610" s="59"/>
      <c r="J610" s="59"/>
      <c r="L610" s="59"/>
      <c r="M610" s="59"/>
    </row>
    <row r="611" spans="4:13">
      <c r="D611" s="59"/>
      <c r="J611" s="59"/>
      <c r="L611" s="59"/>
      <c r="M611" s="59"/>
    </row>
    <row r="612" spans="4:13">
      <c r="D612" s="59"/>
      <c r="J612" s="59"/>
      <c r="L612" s="59"/>
      <c r="M612" s="59"/>
    </row>
    <row r="613" spans="4:13">
      <c r="D613" s="59"/>
      <c r="J613" s="59"/>
      <c r="L613" s="59"/>
      <c r="M613" s="59"/>
    </row>
    <row r="614" spans="4:13">
      <c r="D614" s="59"/>
      <c r="J614" s="59"/>
      <c r="L614" s="59"/>
      <c r="M614" s="59"/>
    </row>
    <row r="615" spans="4:13">
      <c r="D615" s="59"/>
      <c r="J615" s="59"/>
      <c r="L615" s="59"/>
      <c r="M615" s="59"/>
    </row>
    <row r="616" spans="4:13">
      <c r="D616" s="59"/>
      <c r="J616" s="59"/>
      <c r="L616" s="59"/>
      <c r="M616" s="59"/>
    </row>
    <row r="617" spans="4:13">
      <c r="D617" s="59"/>
      <c r="J617" s="59"/>
      <c r="L617" s="59"/>
      <c r="M617" s="59"/>
    </row>
    <row r="618" spans="4:13">
      <c r="D618" s="59"/>
      <c r="J618" s="59"/>
      <c r="L618" s="59"/>
      <c r="M618" s="59"/>
    </row>
    <row r="619" spans="4:13">
      <c r="D619" s="59"/>
      <c r="J619" s="59"/>
      <c r="L619" s="59"/>
      <c r="M619" s="59"/>
    </row>
    <row r="620" spans="4:13">
      <c r="D620" s="59"/>
      <c r="J620" s="59"/>
      <c r="L620" s="59"/>
      <c r="M620" s="59"/>
    </row>
    <row r="621" spans="4:13">
      <c r="D621" s="59"/>
      <c r="J621" s="59"/>
      <c r="L621" s="59"/>
      <c r="M621" s="59"/>
    </row>
    <row r="622" spans="4:13">
      <c r="D622" s="59"/>
      <c r="J622" s="59"/>
      <c r="L622" s="59"/>
      <c r="M622" s="59"/>
    </row>
    <row r="623" spans="4:13">
      <c r="D623" s="59"/>
      <c r="J623" s="59"/>
      <c r="L623" s="59"/>
      <c r="M623" s="59"/>
    </row>
    <row r="624" spans="4:13">
      <c r="D624" s="59"/>
      <c r="J624" s="59"/>
      <c r="L624" s="59"/>
      <c r="M624" s="59"/>
    </row>
    <row r="625" spans="4:13">
      <c r="D625" s="59"/>
      <c r="J625" s="59"/>
      <c r="L625" s="59"/>
      <c r="M625" s="59"/>
    </row>
    <row r="626" spans="4:13">
      <c r="D626" s="59"/>
      <c r="J626" s="59"/>
      <c r="L626" s="59"/>
      <c r="M626" s="59"/>
    </row>
    <row r="627" spans="4:13">
      <c r="D627" s="59"/>
      <c r="J627" s="59"/>
      <c r="L627" s="59"/>
      <c r="M627" s="59"/>
    </row>
    <row r="628" spans="4:13">
      <c r="D628" s="59"/>
      <c r="J628" s="59"/>
      <c r="L628" s="59"/>
      <c r="M628" s="59"/>
    </row>
    <row r="629" spans="4:13">
      <c r="D629" s="59"/>
      <c r="J629" s="59"/>
      <c r="L629" s="59"/>
      <c r="M629" s="59"/>
    </row>
    <row r="630" spans="4:13">
      <c r="D630" s="59"/>
      <c r="J630" s="59"/>
      <c r="L630" s="59"/>
      <c r="M630" s="59"/>
    </row>
    <row r="631" spans="4:13">
      <c r="D631" s="59"/>
      <c r="J631" s="59"/>
      <c r="L631" s="59"/>
      <c r="M631" s="59"/>
    </row>
    <row r="632" spans="4:13">
      <c r="D632" s="59"/>
      <c r="J632" s="59"/>
      <c r="L632" s="59"/>
      <c r="M632" s="59"/>
    </row>
    <row r="633" spans="4:13">
      <c r="D633" s="59"/>
      <c r="J633" s="59"/>
      <c r="L633" s="59"/>
      <c r="M633" s="59"/>
    </row>
    <row r="634" spans="4:13">
      <c r="D634" s="59"/>
      <c r="J634" s="59"/>
      <c r="L634" s="59"/>
      <c r="M634" s="59"/>
    </row>
    <row r="635" spans="4:13">
      <c r="D635" s="59"/>
      <c r="J635" s="59"/>
      <c r="L635" s="59"/>
      <c r="M635" s="59"/>
    </row>
    <row r="636" spans="4:13">
      <c r="D636" s="59"/>
      <c r="J636" s="59"/>
      <c r="L636" s="59"/>
      <c r="M636" s="59"/>
    </row>
    <row r="637" spans="4:13">
      <c r="D637" s="59"/>
      <c r="J637" s="59"/>
      <c r="L637" s="59"/>
      <c r="M637" s="59"/>
    </row>
    <row r="638" spans="4:13">
      <c r="D638" s="59"/>
      <c r="J638" s="59"/>
      <c r="L638" s="59"/>
      <c r="M638" s="59"/>
    </row>
    <row r="639" spans="4:13">
      <c r="D639" s="59"/>
      <c r="J639" s="59"/>
      <c r="L639" s="59"/>
      <c r="M639" s="59"/>
    </row>
    <row r="640" spans="4:13">
      <c r="D640" s="59"/>
      <c r="J640" s="59"/>
      <c r="L640" s="59"/>
      <c r="M640" s="59"/>
    </row>
    <row r="641" spans="4:13">
      <c r="D641" s="59"/>
      <c r="J641" s="59"/>
      <c r="L641" s="59"/>
      <c r="M641" s="59"/>
    </row>
    <row r="642" spans="4:13">
      <c r="D642" s="59"/>
      <c r="J642" s="59"/>
      <c r="L642" s="59"/>
      <c r="M642" s="59"/>
    </row>
    <row r="643" spans="4:13">
      <c r="D643" s="59"/>
      <c r="J643" s="59"/>
      <c r="L643" s="59"/>
      <c r="M643" s="59"/>
    </row>
    <row r="644" spans="4:13">
      <c r="D644" s="59"/>
      <c r="J644" s="59"/>
      <c r="L644" s="59"/>
      <c r="M644" s="59"/>
    </row>
    <row r="645" spans="4:13">
      <c r="D645" s="59"/>
      <c r="J645" s="59"/>
      <c r="L645" s="59"/>
      <c r="M645" s="59"/>
    </row>
    <row r="646" spans="4:13">
      <c r="D646" s="59"/>
      <c r="J646" s="59"/>
      <c r="L646" s="59"/>
      <c r="M646" s="59"/>
    </row>
    <row r="647" spans="4:13">
      <c r="D647" s="59"/>
      <c r="J647" s="59"/>
      <c r="L647" s="59"/>
      <c r="M647" s="59"/>
    </row>
    <row r="648" spans="4:13">
      <c r="D648" s="59"/>
      <c r="J648" s="59"/>
      <c r="L648" s="59"/>
      <c r="M648" s="59"/>
    </row>
    <row r="649" spans="4:13">
      <c r="D649" s="59"/>
      <c r="J649" s="59"/>
      <c r="L649" s="59"/>
      <c r="M649" s="59"/>
    </row>
    <row r="650" spans="4:13">
      <c r="D650" s="59"/>
      <c r="J650" s="59"/>
      <c r="L650" s="59"/>
      <c r="M650" s="59"/>
    </row>
    <row r="651" spans="4:13">
      <c r="D651" s="59"/>
      <c r="J651" s="59"/>
      <c r="L651" s="59"/>
      <c r="M651" s="59"/>
    </row>
    <row r="652" spans="4:13">
      <c r="D652" s="59"/>
      <c r="J652" s="59"/>
      <c r="L652" s="59"/>
      <c r="M652" s="59"/>
    </row>
    <row r="653" spans="4:13">
      <c r="D653" s="59"/>
      <c r="J653" s="59"/>
      <c r="L653" s="59"/>
      <c r="M653" s="59"/>
    </row>
    <row r="654" spans="4:13">
      <c r="D654" s="59"/>
      <c r="J654" s="59"/>
      <c r="L654" s="59"/>
      <c r="M654" s="59"/>
    </row>
    <row r="655" spans="4:13">
      <c r="D655" s="59"/>
      <c r="J655" s="59"/>
      <c r="L655" s="59"/>
      <c r="M655" s="59"/>
    </row>
    <row r="656" spans="4:13">
      <c r="D656" s="59"/>
      <c r="J656" s="59"/>
      <c r="L656" s="59"/>
      <c r="M656" s="59"/>
    </row>
    <row r="657" spans="4:13">
      <c r="D657" s="59"/>
      <c r="J657" s="59"/>
      <c r="L657" s="59"/>
      <c r="M657" s="59"/>
    </row>
    <row r="658" spans="4:13">
      <c r="D658" s="59"/>
      <c r="J658" s="59"/>
      <c r="L658" s="59"/>
      <c r="M658" s="59"/>
    </row>
    <row r="659" spans="4:13">
      <c r="D659" s="59"/>
      <c r="J659" s="59"/>
      <c r="L659" s="59"/>
      <c r="M659" s="59"/>
    </row>
    <row r="660" spans="4:13">
      <c r="D660" s="59"/>
      <c r="J660" s="59"/>
      <c r="L660" s="59"/>
      <c r="M660" s="59"/>
    </row>
    <row r="661" spans="4:13">
      <c r="D661" s="59"/>
      <c r="J661" s="59"/>
      <c r="L661" s="59"/>
      <c r="M661" s="59"/>
    </row>
    <row r="662" spans="4:13">
      <c r="D662" s="59"/>
      <c r="J662" s="59"/>
      <c r="L662" s="59"/>
      <c r="M662" s="59"/>
    </row>
    <row r="663" spans="4:13">
      <c r="D663" s="59"/>
      <c r="J663" s="59"/>
      <c r="L663" s="59"/>
      <c r="M663" s="59"/>
    </row>
    <row r="664" spans="4:13">
      <c r="D664" s="59"/>
      <c r="J664" s="59"/>
      <c r="L664" s="59"/>
      <c r="M664" s="59"/>
    </row>
    <row r="665" spans="4:13">
      <c r="D665" s="59"/>
      <c r="J665" s="59"/>
      <c r="L665" s="59"/>
      <c r="M665" s="59"/>
    </row>
    <row r="666" spans="4:13">
      <c r="D666" s="59"/>
      <c r="J666" s="59"/>
      <c r="L666" s="59"/>
      <c r="M666" s="59"/>
    </row>
    <row r="667" spans="4:13">
      <c r="D667" s="59"/>
      <c r="J667" s="59"/>
      <c r="L667" s="59"/>
      <c r="M667" s="59"/>
    </row>
    <row r="668" spans="4:13">
      <c r="D668" s="59"/>
      <c r="J668" s="59"/>
      <c r="L668" s="59"/>
      <c r="M668" s="59"/>
    </row>
    <row r="669" spans="4:13">
      <c r="D669" s="59"/>
      <c r="J669" s="59"/>
      <c r="L669" s="59"/>
      <c r="M669" s="59"/>
    </row>
    <row r="670" spans="4:13">
      <c r="D670" s="59"/>
      <c r="J670" s="59"/>
      <c r="L670" s="59"/>
      <c r="M670" s="59"/>
    </row>
    <row r="671" spans="4:13">
      <c r="D671" s="59"/>
      <c r="J671" s="59"/>
      <c r="L671" s="59"/>
      <c r="M671" s="59"/>
    </row>
    <row r="672" spans="4:13">
      <c r="D672" s="59"/>
      <c r="J672" s="59"/>
      <c r="L672" s="59"/>
      <c r="M672" s="59"/>
    </row>
    <row r="673" spans="4:13">
      <c r="D673" s="59"/>
      <c r="J673" s="59"/>
      <c r="L673" s="59"/>
      <c r="M673" s="59"/>
    </row>
    <row r="674" spans="4:13">
      <c r="D674" s="59"/>
      <c r="J674" s="59"/>
      <c r="L674" s="59"/>
      <c r="M674" s="59"/>
    </row>
    <row r="675" spans="4:13">
      <c r="D675" s="59"/>
      <c r="J675" s="59"/>
      <c r="L675" s="59"/>
      <c r="M675" s="59"/>
    </row>
    <row r="676" spans="4:13">
      <c r="D676" s="59"/>
      <c r="J676" s="59"/>
      <c r="L676" s="59"/>
      <c r="M676" s="59"/>
    </row>
    <row r="677" spans="4:13">
      <c r="D677" s="59"/>
      <c r="J677" s="59"/>
      <c r="L677" s="59"/>
      <c r="M677" s="59"/>
    </row>
    <row r="678" spans="4:13">
      <c r="D678" s="59"/>
      <c r="J678" s="59"/>
      <c r="L678" s="59"/>
      <c r="M678" s="59"/>
    </row>
    <row r="679" spans="4:13">
      <c r="D679" s="59"/>
      <c r="J679" s="59"/>
      <c r="L679" s="59"/>
      <c r="M679" s="59"/>
    </row>
    <row r="680" spans="4:13">
      <c r="D680" s="59"/>
      <c r="J680" s="59"/>
      <c r="L680" s="59"/>
      <c r="M680" s="59"/>
    </row>
    <row r="681" spans="4:13">
      <c r="D681" s="59"/>
      <c r="J681" s="59"/>
      <c r="L681" s="59"/>
      <c r="M681" s="59"/>
    </row>
    <row r="682" spans="4:13">
      <c r="D682" s="59"/>
      <c r="J682" s="59"/>
      <c r="L682" s="59"/>
      <c r="M682" s="59"/>
    </row>
    <row r="683" spans="4:13">
      <c r="D683" s="59"/>
      <c r="J683" s="59"/>
      <c r="L683" s="59"/>
      <c r="M683" s="59"/>
    </row>
    <row r="684" spans="4:13">
      <c r="D684" s="59"/>
      <c r="J684" s="59"/>
      <c r="L684" s="59"/>
      <c r="M684" s="59"/>
    </row>
    <row r="685" spans="4:13">
      <c r="D685" s="59"/>
      <c r="J685" s="59"/>
      <c r="L685" s="59"/>
      <c r="M685" s="59"/>
    </row>
    <row r="686" spans="4:13">
      <c r="D686" s="59"/>
      <c r="J686" s="59"/>
      <c r="L686" s="59"/>
      <c r="M686" s="59"/>
    </row>
    <row r="687" spans="4:13">
      <c r="D687" s="59"/>
      <c r="J687" s="59"/>
      <c r="L687" s="59"/>
      <c r="M687" s="59"/>
    </row>
    <row r="688" spans="4:13">
      <c r="D688" s="59"/>
      <c r="J688" s="59"/>
      <c r="L688" s="59"/>
      <c r="M688" s="59"/>
    </row>
    <row r="689" spans="4:13">
      <c r="D689" s="59"/>
      <c r="J689" s="59"/>
      <c r="L689" s="59"/>
      <c r="M689" s="59"/>
    </row>
    <row r="690" spans="4:13">
      <c r="D690" s="59"/>
      <c r="J690" s="59"/>
      <c r="L690" s="59"/>
      <c r="M690" s="59"/>
    </row>
    <row r="691" spans="4:13">
      <c r="D691" s="59"/>
      <c r="J691" s="59"/>
      <c r="L691" s="59"/>
      <c r="M691" s="59"/>
    </row>
    <row r="692" spans="4:13">
      <c r="D692" s="59"/>
      <c r="J692" s="59"/>
      <c r="L692" s="59"/>
      <c r="M692" s="59"/>
    </row>
    <row r="693" spans="4:13">
      <c r="D693" s="59"/>
      <c r="J693" s="59"/>
      <c r="L693" s="59"/>
      <c r="M693" s="59"/>
    </row>
    <row r="694" spans="4:13">
      <c r="D694" s="59"/>
      <c r="J694" s="59"/>
      <c r="L694" s="59"/>
      <c r="M694" s="59"/>
    </row>
    <row r="695" spans="4:13">
      <c r="D695" s="59"/>
      <c r="J695" s="59"/>
      <c r="L695" s="59"/>
      <c r="M695" s="59"/>
    </row>
    <row r="696" spans="4:13">
      <c r="D696" s="59"/>
      <c r="J696" s="59"/>
      <c r="L696" s="59"/>
      <c r="M696" s="59"/>
    </row>
    <row r="697" spans="4:13">
      <c r="D697" s="59"/>
      <c r="J697" s="59"/>
      <c r="L697" s="59"/>
      <c r="M697" s="59"/>
    </row>
    <row r="698" spans="4:13">
      <c r="D698" s="59"/>
      <c r="J698" s="59"/>
      <c r="L698" s="59"/>
      <c r="M698" s="59"/>
    </row>
    <row r="699" spans="4:13">
      <c r="D699" s="59"/>
      <c r="J699" s="59"/>
      <c r="L699" s="59"/>
      <c r="M699" s="59"/>
    </row>
    <row r="700" spans="4:13">
      <c r="D700" s="59"/>
      <c r="J700" s="59"/>
      <c r="L700" s="59"/>
      <c r="M700" s="59"/>
    </row>
    <row r="701" spans="4:13">
      <c r="D701" s="59"/>
      <c r="J701" s="59"/>
      <c r="L701" s="59"/>
      <c r="M701" s="59"/>
    </row>
    <row r="702" spans="4:13">
      <c r="D702" s="59"/>
      <c r="J702" s="59"/>
      <c r="L702" s="59"/>
      <c r="M702" s="59"/>
    </row>
    <row r="703" spans="4:13">
      <c r="D703" s="59"/>
      <c r="J703" s="59"/>
      <c r="L703" s="59"/>
      <c r="M703" s="59"/>
    </row>
    <row r="704" spans="4:13">
      <c r="D704" s="59"/>
      <c r="J704" s="59"/>
      <c r="L704" s="59"/>
      <c r="M704" s="59"/>
    </row>
    <row r="705" spans="4:13">
      <c r="D705" s="59"/>
      <c r="J705" s="59"/>
      <c r="L705" s="59"/>
      <c r="M705" s="59"/>
    </row>
    <row r="706" spans="4:13">
      <c r="D706" s="59"/>
      <c r="J706" s="59"/>
      <c r="L706" s="59"/>
      <c r="M706" s="59"/>
    </row>
    <row r="707" spans="4:13">
      <c r="D707" s="59"/>
      <c r="J707" s="59"/>
      <c r="L707" s="59"/>
      <c r="M707" s="59"/>
    </row>
    <row r="708" spans="4:13">
      <c r="D708" s="59"/>
      <c r="J708" s="59"/>
      <c r="L708" s="59"/>
      <c r="M708" s="59"/>
    </row>
    <row r="709" spans="4:13">
      <c r="D709" s="59"/>
      <c r="J709" s="59"/>
      <c r="L709" s="59"/>
      <c r="M709" s="59"/>
    </row>
    <row r="710" spans="4:13">
      <c r="D710" s="59"/>
      <c r="J710" s="59"/>
      <c r="L710" s="59"/>
      <c r="M710" s="59"/>
    </row>
    <row r="711" spans="4:13">
      <c r="D711" s="59"/>
      <c r="J711" s="59"/>
      <c r="L711" s="59"/>
      <c r="M711" s="59"/>
    </row>
    <row r="712" spans="4:13">
      <c r="D712" s="59"/>
      <c r="J712" s="59"/>
      <c r="L712" s="59"/>
      <c r="M712" s="59"/>
    </row>
    <row r="713" spans="4:13">
      <c r="D713" s="59"/>
      <c r="J713" s="59"/>
      <c r="L713" s="59"/>
      <c r="M713" s="59"/>
    </row>
    <row r="714" spans="4:13">
      <c r="D714" s="59"/>
      <c r="J714" s="59"/>
      <c r="L714" s="59"/>
      <c r="M714" s="59"/>
    </row>
    <row r="715" spans="4:13">
      <c r="D715" s="59"/>
      <c r="J715" s="59"/>
      <c r="L715" s="59"/>
      <c r="M715" s="59"/>
    </row>
    <row r="716" spans="4:13">
      <c r="D716" s="59"/>
      <c r="J716" s="59"/>
      <c r="L716" s="59"/>
      <c r="M716" s="59"/>
    </row>
    <row r="717" spans="4:13">
      <c r="D717" s="59"/>
      <c r="J717" s="59"/>
      <c r="L717" s="59"/>
      <c r="M717" s="59"/>
    </row>
    <row r="718" spans="4:13">
      <c r="D718" s="59"/>
      <c r="J718" s="59"/>
      <c r="L718" s="59"/>
      <c r="M718" s="59"/>
    </row>
    <row r="719" spans="4:13">
      <c r="D719" s="59"/>
      <c r="J719" s="59"/>
      <c r="L719" s="59"/>
      <c r="M719" s="59"/>
    </row>
    <row r="720" spans="4:13">
      <c r="D720" s="59"/>
      <c r="J720" s="59"/>
      <c r="L720" s="59"/>
      <c r="M720" s="59"/>
    </row>
    <row r="721" spans="4:13">
      <c r="D721" s="59"/>
      <c r="J721" s="59"/>
      <c r="L721" s="59"/>
      <c r="M721" s="59"/>
    </row>
    <row r="722" spans="4:13">
      <c r="D722" s="59"/>
      <c r="J722" s="59"/>
      <c r="L722" s="59"/>
      <c r="M722" s="59"/>
    </row>
    <row r="723" spans="4:13">
      <c r="D723" s="59"/>
      <c r="J723" s="59"/>
      <c r="L723" s="59"/>
      <c r="M723" s="59"/>
    </row>
    <row r="724" spans="4:13">
      <c r="D724" s="59"/>
      <c r="J724" s="59"/>
      <c r="L724" s="59"/>
      <c r="M724" s="59"/>
    </row>
    <row r="725" spans="4:13">
      <c r="D725" s="59"/>
      <c r="J725" s="59"/>
      <c r="L725" s="59"/>
      <c r="M725" s="59"/>
    </row>
    <row r="726" spans="4:13">
      <c r="D726" s="59"/>
      <c r="J726" s="59"/>
      <c r="L726" s="59"/>
      <c r="M726" s="59"/>
    </row>
    <row r="727" spans="4:13">
      <c r="D727" s="59"/>
      <c r="J727" s="59"/>
      <c r="L727" s="59"/>
      <c r="M727" s="59"/>
    </row>
    <row r="728" spans="4:13">
      <c r="D728" s="59"/>
      <c r="J728" s="59"/>
      <c r="L728" s="59"/>
      <c r="M728" s="59"/>
    </row>
    <row r="729" spans="4:13">
      <c r="D729" s="59"/>
      <c r="J729" s="59"/>
      <c r="L729" s="59"/>
      <c r="M729" s="59"/>
    </row>
    <row r="730" spans="4:13">
      <c r="D730" s="59"/>
      <c r="J730" s="59"/>
      <c r="L730" s="59"/>
      <c r="M730" s="59"/>
    </row>
    <row r="731" spans="4:13">
      <c r="D731" s="59"/>
      <c r="J731" s="59"/>
      <c r="L731" s="59"/>
      <c r="M731" s="59"/>
    </row>
    <row r="732" spans="4:13">
      <c r="D732" s="59"/>
      <c r="J732" s="59"/>
      <c r="L732" s="59"/>
      <c r="M732" s="59"/>
    </row>
    <row r="733" spans="4:13">
      <c r="D733" s="59"/>
      <c r="J733" s="59"/>
      <c r="L733" s="59"/>
      <c r="M733" s="59"/>
    </row>
    <row r="734" spans="4:13">
      <c r="D734" s="59"/>
      <c r="J734" s="59"/>
      <c r="L734" s="59"/>
      <c r="M734" s="59"/>
    </row>
    <row r="735" spans="4:13">
      <c r="D735" s="59"/>
      <c r="J735" s="59"/>
      <c r="L735" s="59"/>
      <c r="M735" s="59"/>
    </row>
    <row r="736" spans="4:13">
      <c r="D736" s="59"/>
      <c r="J736" s="59"/>
      <c r="L736" s="59"/>
      <c r="M736" s="59"/>
    </row>
    <row r="737" spans="4:13">
      <c r="D737" s="59"/>
      <c r="J737" s="59"/>
      <c r="L737" s="59"/>
      <c r="M737" s="59"/>
    </row>
    <row r="738" spans="4:13">
      <c r="D738" s="59"/>
      <c r="J738" s="59"/>
      <c r="L738" s="59"/>
      <c r="M738" s="59"/>
    </row>
    <row r="739" spans="4:13">
      <c r="D739" s="59"/>
      <c r="J739" s="59"/>
      <c r="L739" s="59"/>
      <c r="M739" s="59"/>
    </row>
    <row r="740" spans="4:13">
      <c r="D740" s="59"/>
      <c r="J740" s="59"/>
      <c r="L740" s="59"/>
      <c r="M740" s="59"/>
    </row>
    <row r="741" spans="4:13">
      <c r="D741" s="59"/>
      <c r="J741" s="59"/>
      <c r="L741" s="59"/>
      <c r="M741" s="59"/>
    </row>
    <row r="742" spans="4:13">
      <c r="D742" s="59"/>
      <c r="J742" s="59"/>
      <c r="L742" s="59"/>
      <c r="M742" s="59"/>
    </row>
    <row r="743" spans="4:13">
      <c r="D743" s="59"/>
      <c r="J743" s="59"/>
      <c r="L743" s="59"/>
      <c r="M743" s="59"/>
    </row>
    <row r="744" spans="4:13">
      <c r="D744" s="59"/>
      <c r="J744" s="59"/>
      <c r="L744" s="59"/>
      <c r="M744" s="59"/>
    </row>
    <row r="745" spans="4:13">
      <c r="D745" s="59"/>
      <c r="J745" s="59"/>
      <c r="L745" s="59"/>
      <c r="M745" s="59"/>
    </row>
    <row r="746" spans="4:13">
      <c r="D746" s="59"/>
      <c r="J746" s="59"/>
      <c r="L746" s="59"/>
      <c r="M746" s="59"/>
    </row>
    <row r="747" spans="4:13">
      <c r="D747" s="59"/>
      <c r="J747" s="59"/>
      <c r="L747" s="59"/>
      <c r="M747" s="59"/>
    </row>
    <row r="748" spans="4:13">
      <c r="D748" s="59"/>
      <c r="J748" s="59"/>
      <c r="L748" s="59"/>
      <c r="M748" s="59"/>
    </row>
    <row r="749" spans="4:13">
      <c r="D749" s="59"/>
      <c r="J749" s="59"/>
      <c r="L749" s="59"/>
      <c r="M749" s="59"/>
    </row>
    <row r="750" spans="4:13">
      <c r="D750" s="59"/>
      <c r="J750" s="59"/>
      <c r="L750" s="59"/>
      <c r="M750" s="59"/>
    </row>
    <row r="751" spans="4:13">
      <c r="D751" s="59"/>
      <c r="J751" s="59"/>
      <c r="L751" s="59"/>
      <c r="M751" s="59"/>
    </row>
    <row r="752" spans="4:13">
      <c r="D752" s="59"/>
      <c r="J752" s="59"/>
      <c r="L752" s="59"/>
      <c r="M752" s="59"/>
    </row>
    <row r="753" spans="4:13">
      <c r="D753" s="59"/>
      <c r="J753" s="59"/>
      <c r="L753" s="59"/>
      <c r="M753" s="59"/>
    </row>
    <row r="754" spans="4:13">
      <c r="D754" s="59"/>
      <c r="J754" s="59"/>
      <c r="L754" s="59"/>
      <c r="M754" s="59"/>
    </row>
    <row r="755" spans="4:13">
      <c r="D755" s="59"/>
      <c r="J755" s="59"/>
      <c r="L755" s="59"/>
      <c r="M755" s="59"/>
    </row>
    <row r="756" spans="4:13">
      <c r="D756" s="59"/>
      <c r="J756" s="59"/>
      <c r="L756" s="59"/>
      <c r="M756" s="59"/>
    </row>
    <row r="757" spans="4:13">
      <c r="D757" s="59"/>
      <c r="J757" s="59"/>
      <c r="L757" s="59"/>
      <c r="M757" s="59"/>
    </row>
    <row r="758" spans="4:13">
      <c r="D758" s="59"/>
      <c r="J758" s="59"/>
      <c r="L758" s="59"/>
      <c r="M758" s="59"/>
    </row>
    <row r="759" spans="4:13">
      <c r="D759" s="59"/>
      <c r="J759" s="59"/>
      <c r="L759" s="59"/>
      <c r="M759" s="59"/>
    </row>
    <row r="760" spans="4:13">
      <c r="D760" s="59"/>
      <c r="J760" s="59"/>
      <c r="L760" s="59"/>
      <c r="M760" s="59"/>
    </row>
    <row r="761" spans="4:13">
      <c r="D761" s="59"/>
      <c r="J761" s="59"/>
      <c r="L761" s="59"/>
      <c r="M761" s="59"/>
    </row>
    <row r="762" spans="4:13">
      <c r="D762" s="59"/>
      <c r="J762" s="59"/>
      <c r="L762" s="59"/>
      <c r="M762" s="59"/>
    </row>
    <row r="763" spans="4:13">
      <c r="D763" s="59"/>
      <c r="J763" s="59"/>
      <c r="L763" s="59"/>
      <c r="M763" s="59"/>
    </row>
    <row r="764" spans="4:13">
      <c r="D764" s="59"/>
      <c r="J764" s="59"/>
      <c r="L764" s="59"/>
      <c r="M764" s="59"/>
    </row>
    <row r="765" spans="4:13">
      <c r="D765" s="59"/>
      <c r="J765" s="59"/>
      <c r="L765" s="59"/>
      <c r="M765" s="59"/>
    </row>
    <row r="766" spans="4:13">
      <c r="D766" s="59"/>
      <c r="J766" s="59"/>
      <c r="L766" s="59"/>
      <c r="M766" s="59"/>
    </row>
    <row r="767" spans="4:13">
      <c r="D767" s="59"/>
      <c r="J767" s="59"/>
      <c r="L767" s="59"/>
      <c r="M767" s="59"/>
    </row>
    <row r="768" spans="4:13">
      <c r="D768" s="59"/>
      <c r="J768" s="59"/>
      <c r="L768" s="59"/>
      <c r="M768" s="59"/>
    </row>
    <row r="769" spans="4:13">
      <c r="D769" s="59"/>
      <c r="J769" s="59"/>
      <c r="L769" s="59"/>
      <c r="M769" s="59"/>
    </row>
    <row r="770" spans="4:13">
      <c r="D770" s="59"/>
      <c r="J770" s="59"/>
      <c r="L770" s="59"/>
      <c r="M770" s="59"/>
    </row>
    <row r="771" spans="4:13">
      <c r="D771" s="59"/>
      <c r="J771" s="59"/>
      <c r="L771" s="59"/>
      <c r="M771" s="59"/>
    </row>
    <row r="772" spans="4:13">
      <c r="D772" s="59"/>
      <c r="J772" s="59"/>
      <c r="L772" s="59"/>
      <c r="M772" s="59"/>
    </row>
    <row r="773" spans="4:13">
      <c r="D773" s="59"/>
      <c r="J773" s="59"/>
      <c r="L773" s="59"/>
      <c r="M773" s="59"/>
    </row>
    <row r="774" spans="4:13">
      <c r="D774" s="59"/>
      <c r="J774" s="59"/>
      <c r="L774" s="59"/>
      <c r="M774" s="59"/>
    </row>
    <row r="775" spans="4:13">
      <c r="D775" s="59"/>
      <c r="J775" s="59"/>
      <c r="L775" s="59"/>
      <c r="M775" s="59"/>
    </row>
    <row r="776" spans="4:13">
      <c r="D776" s="59"/>
      <c r="J776" s="59"/>
      <c r="L776" s="59"/>
      <c r="M776" s="59"/>
    </row>
    <row r="777" spans="4:13">
      <c r="D777" s="59"/>
      <c r="J777" s="59"/>
      <c r="L777" s="59"/>
      <c r="M777" s="59"/>
    </row>
    <row r="778" spans="4:13">
      <c r="D778" s="59"/>
      <c r="J778" s="59"/>
      <c r="L778" s="59"/>
      <c r="M778" s="59"/>
    </row>
    <row r="779" spans="4:13">
      <c r="D779" s="59"/>
      <c r="J779" s="59"/>
      <c r="L779" s="59"/>
      <c r="M779" s="59"/>
    </row>
    <row r="780" spans="4:13">
      <c r="D780" s="59"/>
      <c r="J780" s="59"/>
      <c r="L780" s="59"/>
      <c r="M780" s="59"/>
    </row>
    <row r="781" spans="4:13">
      <c r="D781" s="59"/>
      <c r="J781" s="59"/>
      <c r="L781" s="59"/>
      <c r="M781" s="59"/>
    </row>
    <row r="782" spans="4:13">
      <c r="D782" s="59"/>
      <c r="J782" s="59"/>
      <c r="L782" s="59"/>
      <c r="M782" s="59"/>
    </row>
    <row r="783" spans="4:13">
      <c r="D783" s="59"/>
      <c r="J783" s="59"/>
      <c r="L783" s="59"/>
      <c r="M783" s="59"/>
    </row>
    <row r="784" spans="4:13">
      <c r="D784" s="59"/>
      <c r="J784" s="59"/>
      <c r="L784" s="59"/>
      <c r="M784" s="59"/>
    </row>
    <row r="785" spans="4:13">
      <c r="D785" s="59"/>
      <c r="J785" s="59"/>
      <c r="L785" s="59"/>
      <c r="M785" s="59"/>
    </row>
    <row r="786" spans="4:13">
      <c r="D786" s="59"/>
      <c r="J786" s="59"/>
      <c r="L786" s="59"/>
      <c r="M786" s="59"/>
    </row>
    <row r="787" spans="4:13">
      <c r="D787" s="59"/>
      <c r="J787" s="59"/>
      <c r="L787" s="59"/>
      <c r="M787" s="59"/>
    </row>
    <row r="788" spans="4:13">
      <c r="D788" s="59"/>
      <c r="J788" s="59"/>
      <c r="L788" s="59"/>
      <c r="M788" s="59"/>
    </row>
    <row r="789" spans="4:13">
      <c r="D789" s="59"/>
      <c r="J789" s="59"/>
      <c r="L789" s="59"/>
      <c r="M789" s="59"/>
    </row>
    <row r="790" spans="4:13">
      <c r="D790" s="59"/>
      <c r="J790" s="59"/>
      <c r="L790" s="59"/>
      <c r="M790" s="59"/>
    </row>
    <row r="791" spans="4:13">
      <c r="D791" s="59"/>
      <c r="J791" s="59"/>
      <c r="L791" s="59"/>
      <c r="M791" s="59"/>
    </row>
    <row r="792" spans="4:13">
      <c r="D792" s="59"/>
      <c r="J792" s="59"/>
      <c r="L792" s="59"/>
      <c r="M792" s="59"/>
    </row>
    <row r="793" spans="4:13">
      <c r="D793" s="59"/>
      <c r="J793" s="59"/>
      <c r="L793" s="59"/>
      <c r="M793" s="59"/>
    </row>
    <row r="794" spans="4:13">
      <c r="D794" s="59"/>
      <c r="J794" s="59"/>
      <c r="L794" s="59"/>
      <c r="M794" s="59"/>
    </row>
    <row r="795" spans="4:13">
      <c r="D795" s="59"/>
      <c r="J795" s="59"/>
      <c r="L795" s="59"/>
      <c r="M795" s="59"/>
    </row>
    <row r="796" spans="4:13">
      <c r="D796" s="59"/>
      <c r="J796" s="59"/>
      <c r="L796" s="59"/>
      <c r="M796" s="59"/>
    </row>
    <row r="797" spans="4:13">
      <c r="D797" s="59"/>
      <c r="J797" s="59"/>
      <c r="L797" s="59"/>
      <c r="M797" s="59"/>
    </row>
    <row r="798" spans="4:13">
      <c r="D798" s="59"/>
      <c r="J798" s="59"/>
      <c r="L798" s="59"/>
      <c r="M798" s="59"/>
    </row>
    <row r="799" spans="4:13">
      <c r="D799" s="59"/>
      <c r="J799" s="59"/>
      <c r="L799" s="59"/>
      <c r="M799" s="59"/>
    </row>
    <row r="800" spans="4:13">
      <c r="D800" s="59"/>
      <c r="J800" s="59"/>
      <c r="L800" s="59"/>
      <c r="M800" s="59"/>
    </row>
    <row r="801" spans="4:13">
      <c r="D801" s="59"/>
      <c r="J801" s="59"/>
      <c r="L801" s="59"/>
      <c r="M801" s="59"/>
    </row>
    <row r="802" spans="4:13">
      <c r="D802" s="59"/>
      <c r="J802" s="59"/>
      <c r="L802" s="59"/>
      <c r="M802" s="59"/>
    </row>
    <row r="803" spans="4:13">
      <c r="D803" s="59"/>
      <c r="J803" s="59"/>
      <c r="L803" s="59"/>
      <c r="M803" s="59"/>
    </row>
    <row r="804" spans="4:13">
      <c r="D804" s="59"/>
      <c r="J804" s="59"/>
      <c r="L804" s="59"/>
      <c r="M804" s="59"/>
    </row>
    <row r="805" spans="4:13">
      <c r="D805" s="59"/>
      <c r="J805" s="59"/>
      <c r="L805" s="59"/>
      <c r="M805" s="59"/>
    </row>
    <row r="806" spans="4:13">
      <c r="D806" s="59"/>
      <c r="J806" s="59"/>
      <c r="L806" s="59"/>
      <c r="M806" s="59"/>
    </row>
    <row r="807" spans="4:13">
      <c r="D807" s="59"/>
      <c r="J807" s="59"/>
      <c r="L807" s="59"/>
      <c r="M807" s="59"/>
    </row>
    <row r="808" spans="4:13">
      <c r="D808" s="59"/>
      <c r="J808" s="59"/>
      <c r="L808" s="59"/>
      <c r="M808" s="59"/>
    </row>
    <row r="809" spans="4:13">
      <c r="D809" s="59"/>
      <c r="J809" s="59"/>
      <c r="L809" s="59"/>
      <c r="M809" s="59"/>
    </row>
    <row r="810" spans="4:13">
      <c r="D810" s="59"/>
      <c r="J810" s="59"/>
      <c r="L810" s="59"/>
      <c r="M810" s="59"/>
    </row>
    <row r="811" spans="4:13">
      <c r="D811" s="59"/>
      <c r="J811" s="59"/>
      <c r="L811" s="59"/>
      <c r="M811" s="59"/>
    </row>
    <row r="812" spans="4:13">
      <c r="D812" s="59"/>
      <c r="J812" s="59"/>
      <c r="L812" s="59"/>
      <c r="M812" s="59"/>
    </row>
    <row r="813" spans="4:13">
      <c r="D813" s="59"/>
      <c r="J813" s="59"/>
      <c r="L813" s="59"/>
      <c r="M813" s="59"/>
    </row>
    <row r="814" spans="4:13">
      <c r="D814" s="59"/>
      <c r="J814" s="59"/>
      <c r="L814" s="59"/>
      <c r="M814" s="59"/>
    </row>
    <row r="815" spans="4:13">
      <c r="D815" s="59"/>
      <c r="J815" s="59"/>
      <c r="L815" s="59"/>
      <c r="M815" s="59"/>
    </row>
    <row r="816" spans="4:13">
      <c r="D816" s="59"/>
      <c r="J816" s="59"/>
      <c r="L816" s="59"/>
      <c r="M816" s="59"/>
    </row>
    <row r="817" spans="4:13">
      <c r="D817" s="59"/>
      <c r="J817" s="59"/>
      <c r="L817" s="59"/>
      <c r="M817" s="59"/>
    </row>
    <row r="818" spans="4:13">
      <c r="D818" s="59"/>
      <c r="J818" s="59"/>
      <c r="L818" s="59"/>
      <c r="M818" s="59"/>
    </row>
    <row r="819" spans="4:13">
      <c r="D819" s="59"/>
      <c r="J819" s="59"/>
      <c r="L819" s="59"/>
      <c r="M819" s="59"/>
    </row>
    <row r="820" spans="4:13">
      <c r="D820" s="59"/>
      <c r="J820" s="59"/>
      <c r="L820" s="59"/>
      <c r="M820" s="59"/>
    </row>
    <row r="821" spans="4:13">
      <c r="D821" s="59"/>
      <c r="J821" s="59"/>
      <c r="L821" s="59"/>
      <c r="M821" s="59"/>
    </row>
    <row r="822" spans="4:13">
      <c r="D822" s="59"/>
      <c r="J822" s="59"/>
      <c r="L822" s="59"/>
      <c r="M822" s="59"/>
    </row>
    <row r="823" spans="4:13">
      <c r="D823" s="59"/>
      <c r="J823" s="59"/>
      <c r="L823" s="59"/>
      <c r="M823" s="59"/>
    </row>
    <row r="824" spans="4:13">
      <c r="D824" s="59"/>
      <c r="J824" s="59"/>
      <c r="L824" s="59"/>
      <c r="M824" s="59"/>
    </row>
    <row r="825" spans="4:13">
      <c r="D825" s="59"/>
      <c r="J825" s="59"/>
      <c r="L825" s="59"/>
      <c r="M825" s="59"/>
    </row>
    <row r="826" spans="4:13">
      <c r="D826" s="59"/>
      <c r="J826" s="59"/>
      <c r="L826" s="59"/>
      <c r="M826" s="59"/>
    </row>
    <row r="827" spans="4:13">
      <c r="D827" s="59"/>
      <c r="J827" s="59"/>
      <c r="L827" s="59"/>
      <c r="M827" s="59"/>
    </row>
    <row r="828" spans="4:13">
      <c r="D828" s="59"/>
      <c r="J828" s="59"/>
      <c r="L828" s="59"/>
      <c r="M828" s="59"/>
    </row>
    <row r="829" spans="4:13">
      <c r="D829" s="59"/>
      <c r="J829" s="59"/>
      <c r="L829" s="59"/>
      <c r="M829" s="59"/>
    </row>
    <row r="830" spans="4:13">
      <c r="D830" s="59"/>
      <c r="J830" s="59"/>
      <c r="L830" s="59"/>
      <c r="M830" s="59"/>
    </row>
    <row r="831" spans="4:13">
      <c r="D831" s="59"/>
      <c r="J831" s="59"/>
      <c r="L831" s="59"/>
      <c r="M831" s="59"/>
    </row>
    <row r="832" spans="4:13">
      <c r="D832" s="59"/>
      <c r="J832" s="59"/>
      <c r="L832" s="59"/>
      <c r="M832" s="59"/>
    </row>
    <row r="833" spans="4:13">
      <c r="D833" s="59"/>
      <c r="J833" s="59"/>
      <c r="L833" s="59"/>
      <c r="M833" s="59"/>
    </row>
    <row r="834" spans="4:13">
      <c r="D834" s="59"/>
      <c r="J834" s="59"/>
      <c r="L834" s="59"/>
      <c r="M834" s="59"/>
    </row>
    <row r="835" spans="4:13">
      <c r="D835" s="59"/>
      <c r="J835" s="59"/>
      <c r="L835" s="59"/>
      <c r="M835" s="59"/>
    </row>
    <row r="836" spans="4:13">
      <c r="D836" s="59"/>
      <c r="J836" s="59"/>
      <c r="L836" s="59"/>
      <c r="M836" s="59"/>
    </row>
    <row r="837" spans="4:13">
      <c r="D837" s="59"/>
      <c r="J837" s="59"/>
      <c r="L837" s="59"/>
      <c r="M837" s="59"/>
    </row>
    <row r="838" spans="4:13">
      <c r="D838" s="59"/>
      <c r="J838" s="59"/>
      <c r="L838" s="59"/>
      <c r="M838" s="59"/>
    </row>
    <row r="839" spans="4:13">
      <c r="D839" s="59"/>
      <c r="J839" s="59"/>
      <c r="L839" s="59"/>
      <c r="M839" s="59"/>
    </row>
    <row r="840" spans="4:13">
      <c r="D840" s="59"/>
      <c r="J840" s="59"/>
      <c r="L840" s="59"/>
      <c r="M840" s="59"/>
    </row>
    <row r="841" spans="4:13">
      <c r="D841" s="59"/>
      <c r="J841" s="59"/>
      <c r="L841" s="59"/>
      <c r="M841" s="59"/>
    </row>
    <row r="842" spans="4:13">
      <c r="D842" s="59"/>
      <c r="J842" s="59"/>
      <c r="L842" s="59"/>
      <c r="M842" s="59"/>
    </row>
    <row r="843" spans="4:13">
      <c r="D843" s="59"/>
      <c r="J843" s="59"/>
      <c r="L843" s="59"/>
      <c r="M843" s="59"/>
    </row>
    <row r="844" spans="4:13">
      <c r="D844" s="59"/>
      <c r="J844" s="59"/>
      <c r="L844" s="59"/>
      <c r="M844" s="59"/>
    </row>
    <row r="845" spans="4:13">
      <c r="D845" s="59"/>
      <c r="J845" s="59"/>
      <c r="L845" s="59"/>
      <c r="M845" s="59"/>
    </row>
    <row r="846" spans="4:13">
      <c r="D846" s="59"/>
      <c r="J846" s="59"/>
      <c r="L846" s="59"/>
      <c r="M846" s="59"/>
    </row>
    <row r="847" spans="4:13">
      <c r="D847" s="59"/>
      <c r="J847" s="59"/>
      <c r="L847" s="59"/>
      <c r="M847" s="59"/>
    </row>
    <row r="848" spans="4:13">
      <c r="D848" s="59"/>
      <c r="J848" s="59"/>
      <c r="L848" s="59"/>
      <c r="M848" s="59"/>
    </row>
    <row r="849" spans="4:13">
      <c r="D849" s="59"/>
      <c r="J849" s="59"/>
      <c r="L849" s="59"/>
      <c r="M849" s="59"/>
    </row>
    <row r="850" spans="4:13">
      <c r="D850" s="59"/>
      <c r="J850" s="59"/>
      <c r="L850" s="59"/>
      <c r="M850" s="59"/>
    </row>
    <row r="851" spans="4:13">
      <c r="D851" s="59"/>
      <c r="J851" s="59"/>
      <c r="L851" s="59"/>
      <c r="M851" s="59"/>
    </row>
    <row r="852" spans="4:13">
      <c r="D852" s="59"/>
      <c r="J852" s="59"/>
      <c r="L852" s="59"/>
      <c r="M852" s="59"/>
    </row>
    <row r="853" spans="4:13">
      <c r="D853" s="59"/>
      <c r="J853" s="59"/>
      <c r="L853" s="59"/>
      <c r="M853" s="59"/>
    </row>
    <row r="854" spans="4:13">
      <c r="D854" s="59"/>
      <c r="J854" s="59"/>
      <c r="L854" s="59"/>
      <c r="M854" s="59"/>
    </row>
    <row r="855" spans="4:13">
      <c r="D855" s="59"/>
      <c r="J855" s="59"/>
      <c r="L855" s="59"/>
      <c r="M855" s="59"/>
    </row>
    <row r="856" spans="4:13">
      <c r="D856" s="59"/>
      <c r="J856" s="59"/>
      <c r="L856" s="59"/>
      <c r="M856" s="59"/>
    </row>
    <row r="857" spans="4:13">
      <c r="D857" s="59"/>
      <c r="J857" s="59"/>
      <c r="L857" s="59"/>
      <c r="M857" s="59"/>
    </row>
    <row r="858" spans="4:13">
      <c r="D858" s="59"/>
      <c r="J858" s="59"/>
      <c r="L858" s="59"/>
      <c r="M858" s="59"/>
    </row>
    <row r="859" spans="4:13">
      <c r="D859" s="59"/>
      <c r="J859" s="59"/>
      <c r="L859" s="59"/>
      <c r="M859" s="59"/>
    </row>
    <row r="860" spans="4:13">
      <c r="D860" s="59"/>
      <c r="J860" s="59"/>
      <c r="L860" s="59"/>
      <c r="M860" s="59"/>
    </row>
    <row r="861" spans="4:13">
      <c r="D861" s="59"/>
      <c r="J861" s="59"/>
      <c r="L861" s="59"/>
      <c r="M861" s="59"/>
    </row>
    <row r="862" spans="4:13">
      <c r="D862" s="59"/>
      <c r="J862" s="59"/>
      <c r="L862" s="59"/>
      <c r="M862" s="59"/>
    </row>
    <row r="863" spans="4:13">
      <c r="D863" s="59"/>
      <c r="J863" s="59"/>
      <c r="L863" s="59"/>
      <c r="M863" s="59"/>
    </row>
    <row r="864" spans="4:13">
      <c r="D864" s="59"/>
      <c r="J864" s="59"/>
      <c r="L864" s="59"/>
      <c r="M864" s="59"/>
    </row>
    <row r="865" spans="4:13">
      <c r="D865" s="59"/>
      <c r="J865" s="59"/>
      <c r="L865" s="59"/>
      <c r="M865" s="59"/>
    </row>
    <row r="866" spans="4:13">
      <c r="D866" s="59"/>
      <c r="J866" s="59"/>
      <c r="L866" s="59"/>
      <c r="M866" s="59"/>
    </row>
    <row r="867" spans="4:13">
      <c r="D867" s="59"/>
      <c r="J867" s="59"/>
      <c r="L867" s="59"/>
      <c r="M867" s="59"/>
    </row>
    <row r="868" spans="4:13">
      <c r="D868" s="59"/>
      <c r="J868" s="59"/>
      <c r="L868" s="59"/>
      <c r="M868" s="59"/>
    </row>
    <row r="869" spans="4:13">
      <c r="D869" s="59"/>
      <c r="J869" s="59"/>
      <c r="L869" s="59"/>
      <c r="M869" s="59"/>
    </row>
    <row r="870" spans="4:13">
      <c r="D870" s="59"/>
      <c r="J870" s="59"/>
      <c r="L870" s="59"/>
      <c r="M870" s="59"/>
    </row>
    <row r="871" spans="4:13">
      <c r="D871" s="59"/>
      <c r="J871" s="59"/>
      <c r="L871" s="59"/>
      <c r="M871" s="59"/>
    </row>
    <row r="872" spans="4:13">
      <c r="D872" s="59"/>
      <c r="J872" s="59"/>
      <c r="L872" s="59"/>
      <c r="M872" s="59"/>
    </row>
    <row r="873" spans="4:13">
      <c r="D873" s="59"/>
      <c r="J873" s="59"/>
      <c r="L873" s="59"/>
      <c r="M873" s="59"/>
    </row>
    <row r="874" spans="4:13">
      <c r="D874" s="59"/>
      <c r="J874" s="59"/>
      <c r="L874" s="59"/>
      <c r="M874" s="59"/>
    </row>
    <row r="875" spans="4:13">
      <c r="D875" s="59"/>
      <c r="J875" s="59"/>
      <c r="L875" s="59"/>
      <c r="M875" s="59"/>
    </row>
    <row r="876" spans="4:13">
      <c r="D876" s="59"/>
      <c r="J876" s="59"/>
      <c r="L876" s="59"/>
      <c r="M876" s="59"/>
    </row>
    <row r="877" spans="4:13">
      <c r="D877" s="59"/>
      <c r="J877" s="59"/>
      <c r="L877" s="59"/>
      <c r="M877" s="59"/>
    </row>
    <row r="878" spans="4:13">
      <c r="D878" s="59"/>
      <c r="J878" s="59"/>
      <c r="L878" s="59"/>
      <c r="M878" s="59"/>
    </row>
    <row r="879" spans="4:13">
      <c r="D879" s="59"/>
      <c r="J879" s="59"/>
      <c r="L879" s="59"/>
      <c r="M879" s="59"/>
    </row>
    <row r="880" spans="4:13">
      <c r="D880" s="59"/>
      <c r="J880" s="59"/>
      <c r="L880" s="59"/>
      <c r="M880" s="59"/>
    </row>
    <row r="881" spans="4:13">
      <c r="D881" s="59"/>
      <c r="J881" s="59"/>
      <c r="L881" s="59"/>
      <c r="M881" s="59"/>
    </row>
    <row r="882" spans="4:13">
      <c r="D882" s="59"/>
      <c r="J882" s="59"/>
      <c r="L882" s="59"/>
      <c r="M882" s="59"/>
    </row>
    <row r="883" spans="4:13">
      <c r="D883" s="59"/>
      <c r="J883" s="59"/>
      <c r="L883" s="59"/>
      <c r="M883" s="59"/>
    </row>
    <row r="884" spans="4:13">
      <c r="D884" s="59"/>
      <c r="J884" s="59"/>
      <c r="L884" s="59"/>
      <c r="M884" s="59"/>
    </row>
    <row r="885" spans="4:13">
      <c r="D885" s="59"/>
      <c r="J885" s="59"/>
      <c r="L885" s="59"/>
      <c r="M885" s="59"/>
    </row>
    <row r="886" spans="4:13">
      <c r="D886" s="59"/>
      <c r="J886" s="59"/>
      <c r="L886" s="59"/>
      <c r="M886" s="59"/>
    </row>
    <row r="887" spans="4:13">
      <c r="D887" s="59"/>
      <c r="J887" s="59"/>
      <c r="L887" s="59"/>
      <c r="M887" s="59"/>
    </row>
    <row r="888" spans="4:13">
      <c r="D888" s="59"/>
      <c r="J888" s="59"/>
      <c r="L888" s="59"/>
      <c r="M888" s="59"/>
    </row>
    <row r="889" spans="4:13">
      <c r="D889" s="59"/>
      <c r="J889" s="59"/>
      <c r="L889" s="59"/>
      <c r="M889" s="59"/>
    </row>
    <row r="890" spans="4:13">
      <c r="D890" s="59"/>
      <c r="J890" s="59"/>
      <c r="L890" s="59"/>
      <c r="M890" s="59"/>
    </row>
    <row r="891" spans="4:13">
      <c r="D891" s="59"/>
      <c r="J891" s="59"/>
      <c r="L891" s="59"/>
      <c r="M891" s="59"/>
    </row>
    <row r="892" spans="4:13">
      <c r="D892" s="59"/>
      <c r="J892" s="59"/>
      <c r="L892" s="59"/>
      <c r="M892" s="59"/>
    </row>
    <row r="893" spans="4:13">
      <c r="D893" s="59"/>
      <c r="J893" s="59"/>
      <c r="L893" s="59"/>
      <c r="M893" s="59"/>
    </row>
    <row r="894" spans="4:13">
      <c r="D894" s="59"/>
      <c r="J894" s="59"/>
      <c r="L894" s="59"/>
      <c r="M894" s="59"/>
    </row>
    <row r="895" spans="4:13">
      <c r="D895" s="59"/>
      <c r="J895" s="59"/>
      <c r="L895" s="59"/>
      <c r="M895" s="59"/>
    </row>
    <row r="896" spans="4:13">
      <c r="D896" s="59"/>
      <c r="J896" s="59"/>
      <c r="L896" s="59"/>
      <c r="M896" s="59"/>
    </row>
    <row r="897" spans="4:13">
      <c r="D897" s="59"/>
      <c r="J897" s="59"/>
      <c r="L897" s="59"/>
      <c r="M897" s="59"/>
    </row>
    <row r="898" spans="4:13">
      <c r="D898" s="59"/>
      <c r="J898" s="59"/>
      <c r="L898" s="59"/>
      <c r="M898" s="59"/>
    </row>
    <row r="899" spans="4:13">
      <c r="D899" s="59"/>
      <c r="J899" s="59"/>
      <c r="L899" s="59"/>
      <c r="M899" s="59"/>
    </row>
    <row r="900" spans="4:13">
      <c r="D900" s="59"/>
      <c r="J900" s="59"/>
      <c r="L900" s="59"/>
      <c r="M900" s="59"/>
    </row>
    <row r="901" spans="4:13">
      <c r="D901" s="59"/>
      <c r="J901" s="59"/>
      <c r="L901" s="59"/>
      <c r="M901" s="59"/>
    </row>
    <row r="902" spans="4:13">
      <c r="D902" s="59"/>
      <c r="J902" s="59"/>
      <c r="L902" s="59"/>
      <c r="M902" s="59"/>
    </row>
    <row r="903" spans="4:13">
      <c r="D903" s="59"/>
      <c r="J903" s="59"/>
      <c r="L903" s="59"/>
      <c r="M903" s="59"/>
    </row>
    <row r="904" spans="4:13">
      <c r="D904" s="59"/>
      <c r="J904" s="59"/>
      <c r="L904" s="59"/>
      <c r="M904" s="59"/>
    </row>
    <row r="905" spans="4:13">
      <c r="D905" s="59"/>
      <c r="J905" s="59"/>
      <c r="L905" s="59"/>
      <c r="M905" s="59"/>
    </row>
    <row r="906" spans="4:13">
      <c r="D906" s="59"/>
      <c r="J906" s="59"/>
      <c r="L906" s="59"/>
      <c r="M906" s="59"/>
    </row>
    <row r="907" spans="4:13">
      <c r="D907" s="59"/>
      <c r="J907" s="59"/>
      <c r="L907" s="59"/>
      <c r="M907" s="59"/>
    </row>
    <row r="908" spans="4:13">
      <c r="D908" s="59"/>
      <c r="J908" s="59"/>
      <c r="L908" s="59"/>
      <c r="M908" s="59"/>
    </row>
    <row r="909" spans="4:13">
      <c r="D909" s="59"/>
      <c r="J909" s="59"/>
      <c r="L909" s="59"/>
      <c r="M909" s="59"/>
    </row>
    <row r="910" spans="4:13">
      <c r="D910" s="59"/>
      <c r="J910" s="59"/>
      <c r="L910" s="59"/>
      <c r="M910" s="59"/>
    </row>
    <row r="911" spans="4:13">
      <c r="D911" s="59"/>
      <c r="J911" s="59"/>
      <c r="L911" s="59"/>
      <c r="M911" s="59"/>
    </row>
    <row r="912" spans="4:13">
      <c r="D912" s="59"/>
      <c r="J912" s="59"/>
      <c r="L912" s="59"/>
      <c r="M912" s="59"/>
    </row>
    <row r="913" spans="4:13">
      <c r="D913" s="59"/>
      <c r="J913" s="59"/>
      <c r="L913" s="59"/>
      <c r="M913" s="59"/>
    </row>
    <row r="914" spans="4:13">
      <c r="D914" s="59"/>
      <c r="J914" s="59"/>
      <c r="L914" s="59"/>
      <c r="M914" s="59"/>
    </row>
    <row r="915" spans="4:13">
      <c r="D915" s="59"/>
      <c r="J915" s="59"/>
      <c r="L915" s="59"/>
      <c r="M915" s="59"/>
    </row>
    <row r="916" spans="4:13">
      <c r="D916" s="59"/>
      <c r="J916" s="59"/>
      <c r="L916" s="59"/>
      <c r="M916" s="59"/>
    </row>
    <row r="917" spans="4:13">
      <c r="D917" s="59"/>
      <c r="J917" s="59"/>
      <c r="L917" s="59"/>
      <c r="M917" s="59"/>
    </row>
    <row r="918" spans="4:13">
      <c r="D918" s="59"/>
      <c r="J918" s="59"/>
      <c r="L918" s="59"/>
      <c r="M918" s="59"/>
    </row>
    <row r="919" spans="4:13">
      <c r="D919" s="59"/>
      <c r="J919" s="59"/>
      <c r="L919" s="59"/>
      <c r="M919" s="59"/>
    </row>
    <row r="920" spans="4:13">
      <c r="D920" s="59"/>
      <c r="J920" s="59"/>
      <c r="L920" s="59"/>
      <c r="M920" s="59"/>
    </row>
    <row r="921" spans="4:13">
      <c r="D921" s="59"/>
      <c r="J921" s="59"/>
      <c r="L921" s="59"/>
      <c r="M921" s="59"/>
    </row>
    <row r="922" spans="4:13">
      <c r="D922" s="59"/>
      <c r="J922" s="59"/>
      <c r="L922" s="59"/>
      <c r="M922" s="59"/>
    </row>
    <row r="923" spans="4:13">
      <c r="D923" s="59"/>
      <c r="J923" s="59"/>
      <c r="L923" s="59"/>
      <c r="M923" s="59"/>
    </row>
    <row r="924" spans="4:13">
      <c r="D924" s="59"/>
      <c r="J924" s="59"/>
      <c r="L924" s="59"/>
      <c r="M924" s="59"/>
    </row>
    <row r="925" spans="4:13">
      <c r="D925" s="59"/>
      <c r="J925" s="59"/>
      <c r="L925" s="59"/>
      <c r="M925" s="59"/>
    </row>
    <row r="926" spans="4:13">
      <c r="D926" s="59"/>
      <c r="J926" s="59"/>
      <c r="L926" s="59"/>
      <c r="M926" s="59"/>
    </row>
    <row r="927" spans="4:13">
      <c r="D927" s="59"/>
      <c r="J927" s="59"/>
      <c r="L927" s="59"/>
      <c r="M927" s="59"/>
    </row>
    <row r="928" spans="4:13">
      <c r="D928" s="59"/>
      <c r="J928" s="59"/>
      <c r="L928" s="59"/>
      <c r="M928" s="59"/>
    </row>
    <row r="929" spans="4:13">
      <c r="D929" s="59"/>
      <c r="J929" s="59"/>
      <c r="L929" s="59"/>
      <c r="M929" s="59"/>
    </row>
    <row r="930" spans="4:13">
      <c r="D930" s="59"/>
      <c r="J930" s="59"/>
      <c r="L930" s="59"/>
      <c r="M930" s="59"/>
    </row>
    <row r="931" spans="4:13">
      <c r="D931" s="59"/>
      <c r="J931" s="59"/>
      <c r="L931" s="59"/>
      <c r="M931" s="59"/>
    </row>
    <row r="932" spans="4:13">
      <c r="D932" s="59"/>
      <c r="J932" s="59"/>
      <c r="L932" s="59"/>
      <c r="M932" s="59"/>
    </row>
    <row r="933" spans="4:13">
      <c r="D933" s="59"/>
      <c r="J933" s="59"/>
      <c r="L933" s="59"/>
      <c r="M933" s="59"/>
    </row>
    <row r="934" spans="4:13">
      <c r="D934" s="59"/>
      <c r="J934" s="59"/>
      <c r="L934" s="59"/>
      <c r="M934" s="59"/>
    </row>
    <row r="935" spans="4:13">
      <c r="D935" s="59"/>
      <c r="J935" s="59"/>
      <c r="L935" s="59"/>
      <c r="M935" s="59"/>
    </row>
    <row r="936" spans="4:13">
      <c r="D936" s="59"/>
      <c r="J936" s="59"/>
      <c r="L936" s="59"/>
      <c r="M936" s="59"/>
    </row>
    <row r="937" spans="4:13">
      <c r="D937" s="59"/>
      <c r="J937" s="59"/>
      <c r="L937" s="59"/>
      <c r="M937" s="59"/>
    </row>
    <row r="938" spans="4:13">
      <c r="D938" s="59"/>
      <c r="J938" s="59"/>
      <c r="L938" s="59"/>
      <c r="M938" s="59"/>
    </row>
    <row r="939" spans="4:13">
      <c r="D939" s="59"/>
      <c r="J939" s="59"/>
      <c r="L939" s="59"/>
      <c r="M939" s="59"/>
    </row>
    <row r="940" spans="4:13">
      <c r="D940" s="59"/>
      <c r="J940" s="59"/>
      <c r="L940" s="59"/>
      <c r="M940" s="59"/>
    </row>
    <row r="941" spans="4:13">
      <c r="D941" s="59"/>
      <c r="J941" s="59"/>
      <c r="L941" s="59"/>
      <c r="M941" s="59"/>
    </row>
    <row r="942" spans="4:13">
      <c r="D942" s="59"/>
      <c r="J942" s="59"/>
      <c r="L942" s="59"/>
      <c r="M942" s="59"/>
    </row>
    <row r="943" spans="4:13">
      <c r="D943" s="59"/>
      <c r="J943" s="59"/>
      <c r="L943" s="59"/>
      <c r="M943" s="59"/>
    </row>
    <row r="944" spans="4:13">
      <c r="D944" s="59"/>
      <c r="J944" s="59"/>
      <c r="L944" s="59"/>
      <c r="M944" s="59"/>
    </row>
    <row r="945" spans="4:13">
      <c r="D945" s="59"/>
      <c r="J945" s="59"/>
      <c r="L945" s="59"/>
      <c r="M945" s="59"/>
    </row>
    <row r="946" spans="4:13">
      <c r="D946" s="59"/>
      <c r="J946" s="59"/>
      <c r="L946" s="59"/>
      <c r="M946" s="59"/>
    </row>
    <row r="947" spans="4:13">
      <c r="D947" s="59"/>
      <c r="J947" s="59"/>
      <c r="L947" s="59"/>
      <c r="M947" s="59"/>
    </row>
    <row r="948" spans="4:13">
      <c r="D948" s="59"/>
      <c r="J948" s="59"/>
      <c r="L948" s="59"/>
      <c r="M948" s="59"/>
    </row>
    <row r="949" spans="4:13">
      <c r="D949" s="59"/>
      <c r="J949" s="59"/>
      <c r="L949" s="59"/>
      <c r="M949" s="59"/>
    </row>
    <row r="950" spans="4:13">
      <c r="D950" s="59"/>
      <c r="J950" s="59"/>
      <c r="L950" s="59"/>
      <c r="M950" s="59"/>
    </row>
    <row r="951" spans="4:13">
      <c r="D951" s="59"/>
      <c r="J951" s="59"/>
      <c r="L951" s="59"/>
      <c r="M951" s="59"/>
    </row>
    <row r="952" spans="4:13">
      <c r="D952" s="59"/>
      <c r="J952" s="59"/>
      <c r="L952" s="59"/>
      <c r="M952" s="59"/>
    </row>
    <row r="953" spans="4:13">
      <c r="D953" s="59"/>
      <c r="J953" s="59"/>
      <c r="L953" s="59"/>
      <c r="M953" s="59"/>
    </row>
    <row r="954" spans="4:13">
      <c r="D954" s="59"/>
      <c r="J954" s="59"/>
      <c r="L954" s="59"/>
      <c r="M954" s="59"/>
    </row>
    <row r="955" spans="4:13">
      <c r="D955" s="59"/>
      <c r="J955" s="59"/>
      <c r="L955" s="59"/>
      <c r="M955" s="59"/>
    </row>
    <row r="956" spans="4:13">
      <c r="D956" s="59"/>
      <c r="J956" s="59"/>
      <c r="L956" s="59"/>
      <c r="M956" s="59"/>
    </row>
    <row r="957" spans="4:13">
      <c r="D957" s="59"/>
      <c r="J957" s="59"/>
      <c r="L957" s="59"/>
      <c r="M957" s="59"/>
    </row>
    <row r="958" spans="4:13">
      <c r="D958" s="59"/>
      <c r="J958" s="59"/>
      <c r="L958" s="59"/>
      <c r="M958" s="59"/>
    </row>
    <row r="959" spans="4:13">
      <c r="D959" s="59"/>
      <c r="J959" s="59"/>
      <c r="L959" s="59"/>
      <c r="M959" s="59"/>
    </row>
    <row r="960" spans="4:13">
      <c r="D960" s="59"/>
      <c r="J960" s="59"/>
      <c r="L960" s="59"/>
      <c r="M960" s="59"/>
    </row>
    <row r="961" spans="4:13">
      <c r="D961" s="59"/>
      <c r="J961" s="59"/>
      <c r="L961" s="59"/>
      <c r="M961" s="59"/>
    </row>
    <row r="962" spans="4:13">
      <c r="D962" s="59"/>
      <c r="J962" s="59"/>
      <c r="L962" s="59"/>
      <c r="M962" s="59"/>
    </row>
    <row r="963" spans="4:13">
      <c r="D963" s="59"/>
      <c r="J963" s="59"/>
      <c r="L963" s="59"/>
      <c r="M963" s="59"/>
    </row>
    <row r="964" spans="4:13">
      <c r="D964" s="59"/>
      <c r="J964" s="59"/>
      <c r="L964" s="59"/>
      <c r="M964" s="59"/>
    </row>
    <row r="965" spans="4:13">
      <c r="D965" s="59"/>
      <c r="J965" s="59"/>
      <c r="L965" s="59"/>
      <c r="M965" s="59"/>
    </row>
    <row r="966" spans="4:13">
      <c r="D966" s="59"/>
      <c r="J966" s="59"/>
      <c r="L966" s="59"/>
      <c r="M966" s="59"/>
    </row>
    <row r="967" spans="4:13">
      <c r="D967" s="59"/>
      <c r="J967" s="59"/>
      <c r="L967" s="59"/>
      <c r="M967" s="59"/>
    </row>
    <row r="968" spans="4:13">
      <c r="D968" s="59"/>
      <c r="J968" s="59"/>
      <c r="L968" s="59"/>
      <c r="M968" s="59"/>
    </row>
    <row r="969" spans="4:13">
      <c r="D969" s="59"/>
      <c r="J969" s="59"/>
      <c r="L969" s="59"/>
      <c r="M969" s="59"/>
    </row>
    <row r="970" spans="4:13">
      <c r="D970" s="59"/>
      <c r="J970" s="59"/>
      <c r="L970" s="59"/>
      <c r="M970" s="59"/>
    </row>
    <row r="971" spans="4:13">
      <c r="D971" s="59"/>
      <c r="J971" s="59"/>
      <c r="L971" s="59"/>
      <c r="M971" s="59"/>
    </row>
    <row r="972" spans="4:13">
      <c r="D972" s="59"/>
      <c r="J972" s="59"/>
      <c r="L972" s="59"/>
      <c r="M972" s="59"/>
    </row>
    <row r="973" spans="4:13">
      <c r="D973" s="59"/>
      <c r="J973" s="59"/>
      <c r="L973" s="59"/>
      <c r="M973" s="59"/>
    </row>
    <row r="974" spans="4:13">
      <c r="D974" s="59"/>
      <c r="J974" s="59"/>
      <c r="L974" s="59"/>
      <c r="M974" s="59"/>
    </row>
    <row r="975" spans="4:13">
      <c r="D975" s="59"/>
      <c r="J975" s="59"/>
      <c r="L975" s="59"/>
      <c r="M975" s="59"/>
    </row>
    <row r="976" spans="4:13">
      <c r="D976" s="59"/>
      <c r="J976" s="59"/>
      <c r="L976" s="59"/>
      <c r="M976" s="59"/>
    </row>
    <row r="977" spans="4:13">
      <c r="D977" s="59"/>
      <c r="J977" s="59"/>
      <c r="L977" s="59"/>
      <c r="M977" s="59"/>
    </row>
    <row r="978" spans="4:13">
      <c r="D978" s="59"/>
      <c r="J978" s="59"/>
      <c r="L978" s="59"/>
      <c r="M978" s="59"/>
    </row>
    <row r="979" spans="4:13">
      <c r="D979" s="59"/>
      <c r="J979" s="59"/>
      <c r="L979" s="59"/>
      <c r="M979" s="59"/>
    </row>
    <row r="980" spans="4:13">
      <c r="D980" s="59"/>
      <c r="J980" s="59"/>
      <c r="L980" s="59"/>
      <c r="M980" s="59"/>
    </row>
    <row r="981" spans="4:13">
      <c r="D981" s="59"/>
      <c r="J981" s="59"/>
      <c r="L981" s="59"/>
      <c r="M981" s="59"/>
    </row>
    <row r="982" spans="4:13">
      <c r="D982" s="59"/>
      <c r="J982" s="59"/>
      <c r="L982" s="59"/>
      <c r="M982" s="59"/>
    </row>
    <row r="983" spans="4:13">
      <c r="D983" s="59"/>
      <c r="J983" s="59"/>
      <c r="L983" s="59"/>
      <c r="M983" s="59"/>
    </row>
    <row r="984" spans="4:13">
      <c r="D984" s="59"/>
      <c r="J984" s="59"/>
      <c r="L984" s="59"/>
      <c r="M984" s="59"/>
    </row>
    <row r="985" spans="4:13">
      <c r="D985" s="59"/>
      <c r="J985" s="59"/>
      <c r="L985" s="59"/>
      <c r="M985" s="59"/>
    </row>
    <row r="986" spans="4:13">
      <c r="D986" s="59"/>
      <c r="J986" s="59"/>
      <c r="L986" s="59"/>
      <c r="M986" s="59"/>
    </row>
    <row r="987" spans="4:13">
      <c r="D987" s="59"/>
      <c r="J987" s="59"/>
      <c r="L987" s="59"/>
      <c r="M987" s="59"/>
    </row>
    <row r="988" spans="4:13">
      <c r="D988" s="59"/>
      <c r="J988" s="59"/>
      <c r="L988" s="59"/>
      <c r="M988" s="59"/>
    </row>
    <row r="989" spans="4:13">
      <c r="D989" s="59"/>
      <c r="J989" s="59"/>
      <c r="L989" s="59"/>
      <c r="M989" s="59"/>
    </row>
    <row r="990" spans="4:13">
      <c r="D990" s="59"/>
      <c r="J990" s="59"/>
      <c r="L990" s="59"/>
      <c r="M990" s="59"/>
    </row>
    <row r="991" spans="4:13">
      <c r="D991" s="59"/>
      <c r="J991" s="59"/>
      <c r="L991" s="59"/>
      <c r="M991" s="59"/>
    </row>
    <row r="992" spans="4:13">
      <c r="D992" s="59"/>
      <c r="J992" s="59"/>
      <c r="L992" s="59"/>
      <c r="M992" s="59"/>
    </row>
    <row r="993" spans="4:13">
      <c r="D993" s="59"/>
      <c r="J993" s="59"/>
      <c r="L993" s="59"/>
      <c r="M993" s="59"/>
    </row>
    <row r="994" spans="4:13">
      <c r="D994" s="59"/>
      <c r="J994" s="59"/>
      <c r="L994" s="59"/>
      <c r="M994" s="59"/>
    </row>
    <row r="995" spans="4:13">
      <c r="D995" s="59"/>
      <c r="J995" s="59"/>
      <c r="L995" s="59"/>
      <c r="M995" s="59"/>
    </row>
    <row r="996" spans="4:13">
      <c r="D996" s="59"/>
      <c r="J996" s="59"/>
      <c r="L996" s="59"/>
      <c r="M996" s="59"/>
    </row>
    <row r="997" spans="4:13">
      <c r="D997" s="59"/>
      <c r="J997" s="59"/>
      <c r="L997" s="59"/>
      <c r="M997" s="59"/>
    </row>
    <row r="998" spans="4:13">
      <c r="D998" s="59"/>
      <c r="J998" s="59"/>
      <c r="L998" s="59"/>
      <c r="M998" s="59"/>
    </row>
    <row r="999" spans="4:13">
      <c r="D999" s="59"/>
      <c r="J999" s="59"/>
      <c r="L999" s="59"/>
      <c r="M999" s="59"/>
    </row>
    <row r="1000" spans="4:13">
      <c r="D1000" s="59"/>
      <c r="J1000" s="59"/>
      <c r="L1000" s="59"/>
      <c r="M1000" s="59"/>
    </row>
  </sheetData>
  <mergeCells count="4">
    <mergeCell ref="I2:I4"/>
    <mergeCell ref="I5:I7"/>
    <mergeCell ref="I10:I14"/>
    <mergeCell ref="I17:I18"/>
  </mergeCells>
  <hyperlinks>
    <hyperlink ref="B2" r:id="rId1"/>
    <hyperlink ref="D2" r:id="rId2"/>
    <hyperlink ref="H2" r:id="rId3"/>
    <hyperlink ref="I2" r:id="rId4"/>
    <hyperlink ref="B3" r:id="rId5"/>
    <hyperlink ref="D3" r:id="rId6"/>
    <hyperlink ref="H3" r:id="rId7"/>
    <hyperlink ref="B4" r:id="rId8"/>
    <hyperlink ref="D4" r:id="rId9"/>
    <hyperlink ref="H4" r:id="rId10"/>
    <hyperlink ref="B5" r:id="rId11"/>
    <hyperlink ref="D5" r:id="rId12"/>
    <hyperlink ref="H5" r:id="rId13"/>
    <hyperlink ref="I5" r:id="rId14"/>
    <hyperlink ref="B6" r:id="rId15"/>
    <hyperlink ref="D6" r:id="rId16"/>
    <hyperlink ref="H6" r:id="rId17"/>
    <hyperlink ref="B7" r:id="rId18"/>
    <hyperlink ref="D7" r:id="rId19"/>
    <hyperlink ref="H7" r:id="rId20"/>
    <hyperlink ref="D8" r:id="rId21"/>
    <hyperlink ref="B9" r:id="rId22"/>
    <hyperlink ref="D9" r:id="rId23"/>
    <hyperlink ref="H9" r:id="rId24"/>
    <hyperlink ref="B10" r:id="rId25"/>
    <hyperlink ref="D10" r:id="rId26"/>
    <hyperlink ref="H10" r:id="rId27"/>
    <hyperlink ref="I10" r:id="rId28"/>
    <hyperlink ref="B11" r:id="rId29"/>
    <hyperlink ref="D11" r:id="rId30"/>
    <hyperlink ref="H11" r:id="rId31"/>
    <hyperlink ref="B12" r:id="rId32"/>
    <hyperlink ref="D12" r:id="rId33"/>
    <hyperlink ref="H12" r:id="rId34"/>
    <hyperlink ref="B13" r:id="rId35"/>
    <hyperlink ref="D13" r:id="rId36"/>
    <hyperlink ref="H13" r:id="rId37"/>
    <hyperlink ref="B14" r:id="rId38"/>
    <hyperlink ref="D14" r:id="rId39"/>
    <hyperlink ref="H14" r:id="rId40"/>
    <hyperlink ref="B15" r:id="rId41"/>
    <hyperlink ref="D15" r:id="rId42"/>
    <hyperlink ref="H15" r:id="rId43"/>
    <hyperlink ref="D16" r:id="rId44"/>
    <hyperlink ref="B17" r:id="rId45"/>
    <hyperlink ref="D17" r:id="rId46"/>
    <hyperlink ref="H17" r:id="rId47"/>
    <hyperlink ref="I17" r:id="rId48"/>
    <hyperlink ref="B18" r:id="rId49"/>
    <hyperlink ref="D18" r:id="rId50"/>
    <hyperlink ref="H18" r:id="rId51"/>
    <hyperlink ref="D19" r:id="rId52"/>
    <hyperlink ref="H19" r:id="rId53"/>
    <hyperlink ref="H20" r:id="rId54"/>
    <hyperlink ref="H21" r:id="rId55"/>
    <hyperlink ref="H22" r:id="rId56"/>
    <hyperlink ref="H23" r:id="rId57"/>
    <hyperlink ref="H24" r:id="rId58"/>
    <hyperlink ref="H25" r:id="rId59"/>
    <hyperlink ref="H26" r:id="rId6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6:C9"/>
  <sheetViews>
    <sheetView workbookViewId="0"/>
  </sheetViews>
  <sheetFormatPr defaultColWidth="12.5703125" defaultRowHeight="15.75" customHeight="1"/>
  <cols>
    <col min="2" max="2" width="46.5703125" customWidth="1"/>
  </cols>
  <sheetData>
    <row r="6" spans="1:3" ht="140.25" customHeight="1">
      <c r="A6" s="60" t="s">
        <v>418</v>
      </c>
      <c r="B6" s="61" t="s">
        <v>419</v>
      </c>
      <c r="C6" s="60" t="s">
        <v>420</v>
      </c>
    </row>
    <row r="7" spans="1:3" ht="12.75">
      <c r="B7" s="62" t="e">
        <f>#REF!</f>
        <v>#REF!</v>
      </c>
      <c r="C7" s="60" t="s">
        <v>421</v>
      </c>
    </row>
    <row r="8" spans="1:3" ht="12.75">
      <c r="B8" s="62" t="e">
        <f>#REF! &amp;", "&amp;#REF!</f>
        <v>#REF!</v>
      </c>
      <c r="C8" s="60" t="s">
        <v>422</v>
      </c>
    </row>
    <row r="9" spans="1:3" ht="12.75">
      <c r="B9" s="62" t="e">
        <f>#REF!&amp;", "&amp;#REF!&amp;", "&amp;#REF!&amp;", "&amp;#REF!</f>
        <v>#REF!</v>
      </c>
      <c r="C9" s="60"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Trang tính1</vt:lpstr>
      <vt:lpstr>data</vt:lpstr>
      <vt:lpstr>Mẫu tem giao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2025-09-25T11:19:23Z</dcterms:modified>
</cp:coreProperties>
</file>