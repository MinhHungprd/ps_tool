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DESTOP\"/>
    </mc:Choice>
  </mc:AlternateContent>
  <bookViews>
    <workbookView xWindow="0" yWindow="0" windowWidth="21570" windowHeight="7440" activeTab="1"/>
  </bookViews>
  <sheets>
    <sheet name="Trang tính1" sheetId="1" r:id="rId1"/>
    <sheet name="data" sheetId="2" r:id="rId2"/>
    <sheet name="Mẫu tem giao hàng" sheetId="3" state="hidden" r:id="rId3"/>
  </sheets>
  <calcPr calcId="162913"/>
</workbook>
</file>

<file path=xl/calcChain.xml><?xml version="1.0" encoding="utf-8"?>
<calcChain xmlns="http://schemas.openxmlformats.org/spreadsheetml/2006/main">
  <c r="P18" i="2" l="1"/>
  <c r="A18" i="2" s="1"/>
  <c r="F18" i="2" s="1"/>
  <c r="L18" i="2"/>
  <c r="P17" i="2"/>
  <c r="A17" i="2" s="1"/>
  <c r="F17" i="2" s="1"/>
  <c r="L17" i="2"/>
  <c r="P16" i="2"/>
  <c r="A16" i="2" s="1"/>
  <c r="F16" i="2" s="1"/>
  <c r="L16" i="2"/>
  <c r="P15" i="2"/>
  <c r="A15" i="2" s="1"/>
  <c r="F15" i="2" s="1"/>
  <c r="L15" i="2"/>
  <c r="P14" i="2"/>
  <c r="A14" i="2" s="1"/>
  <c r="F14" i="2" s="1"/>
  <c r="L14" i="2"/>
  <c r="P13" i="2"/>
  <c r="A13" i="2" s="1"/>
  <c r="F13" i="2" s="1"/>
  <c r="L13" i="2"/>
  <c r="P12" i="2"/>
  <c r="A12" i="2" s="1"/>
  <c r="F12" i="2" s="1"/>
  <c r="L12" i="2"/>
  <c r="P11" i="2"/>
  <c r="A11" i="2" s="1"/>
  <c r="F11" i="2" s="1"/>
  <c r="L11" i="2"/>
  <c r="P10" i="2"/>
  <c r="A10" i="2" s="1"/>
  <c r="F10" i="2" s="1"/>
  <c r="L10" i="2"/>
  <c r="P9" i="2"/>
  <c r="A9" i="2" s="1"/>
  <c r="F9" i="2" s="1"/>
  <c r="L9" i="2"/>
  <c r="P8" i="2"/>
  <c r="A8" i="2" s="1"/>
  <c r="F8" i="2" s="1"/>
  <c r="L8" i="2"/>
  <c r="P7" i="2"/>
  <c r="A7" i="2" s="1"/>
  <c r="F7" i="2" s="1"/>
  <c r="L7" i="2"/>
  <c r="P6" i="2"/>
  <c r="A6" i="2" s="1"/>
  <c r="F6" i="2" s="1"/>
  <c r="L6" i="2"/>
  <c r="P5" i="2"/>
  <c r="A5" i="2" s="1"/>
  <c r="F5" i="2" s="1"/>
  <c r="L5" i="2"/>
  <c r="P4" i="2"/>
  <c r="A4" i="2" s="1"/>
  <c r="F4" i="2" s="1"/>
  <c r="L4" i="2"/>
  <c r="P3" i="2"/>
  <c r="A3" i="2" s="1"/>
  <c r="F3" i="2" s="1"/>
  <c r="L3" i="2"/>
  <c r="B9" i="3" l="1"/>
  <c r="B8" i="3"/>
  <c r="B7" i="3"/>
  <c r="P2" i="2"/>
  <c r="A2" i="2" s="1"/>
  <c r="F2" i="2" s="1"/>
  <c r="L2" i="2"/>
  <c r="F1" i="2"/>
</calcChain>
</file>

<file path=xl/sharedStrings.xml><?xml version="1.0" encoding="utf-8"?>
<sst xmlns="http://schemas.openxmlformats.org/spreadsheetml/2006/main" count="1022" uniqueCount="338">
  <si>
    <t>mockUpFront</t>
  </si>
  <si>
    <t>mockUpBack</t>
  </si>
  <si>
    <t>designFront</t>
  </si>
  <si>
    <t>designBack</t>
  </si>
  <si>
    <t>designSleeve</t>
  </si>
  <si>
    <t>designHood</t>
  </si>
  <si>
    <t>type</t>
  </si>
  <si>
    <t>title</t>
  </si>
  <si>
    <t>sku</t>
  </si>
  <si>
    <t>size</t>
  </si>
  <si>
    <t>color</t>
  </si>
  <si>
    <t>orderNumber</t>
  </si>
  <si>
    <t>quantity</t>
  </si>
  <si>
    <t>name</t>
  </si>
  <si>
    <t>address1</t>
  </si>
  <si>
    <t>address2</t>
  </si>
  <si>
    <t>city</t>
  </si>
  <si>
    <t>state</t>
  </si>
  <si>
    <t>country</t>
  </si>
  <si>
    <t>phone</t>
  </si>
  <si>
    <t>email</t>
  </si>
  <si>
    <t>postalCode</t>
  </si>
  <si>
    <t>tax</t>
  </si>
  <si>
    <t>thankcard</t>
  </si>
  <si>
    <t>brandkitA5clothes</t>
  </si>
  <si>
    <t>brandkitA5</t>
  </si>
  <si>
    <t>brandkitA6</t>
  </si>
  <si>
    <t>shippingPlan</t>
  </si>
  <si>
    <t>https://drive.google.com/file/d/1qGl743L7gdrlcnJjL8mtcQuGQPqFIVSq/view?usp=drive_link</t>
  </si>
  <si>
    <t>Can we have the letter B the same size as the letter S and have it be leveled? Also, can you bring the number 25 lower down to match the other jersey?</t>
  </si>
  <si>
    <t>SB</t>
  </si>
  <si>
    <t>AOP Unisex Baseball Jersey without Pipping (white button)</t>
  </si>
  <si>
    <t>E-1409009-dh-Tr</t>
  </si>
  <si>
    <t>E-1409009-dh-Tr-3591082112</t>
  </si>
  <si>
    <t>S</t>
  </si>
  <si>
    <t>Full Printed</t>
  </si>
  <si>
    <t>##3591082112</t>
  </si>
  <si>
    <t>VINNIE THAM</t>
  </si>
  <si>
    <t>4670 ASSEMBLY WAY</t>
  </si>
  <si>
    <t>UNIT 4209 (BUZZER 3507)</t>
  </si>
  <si>
    <t>BURNABY</t>
  </si>
  <si>
    <t>BC</t>
  </si>
  <si>
    <t>Canada</t>
  </si>
  <si>
    <t>V5H0H3</t>
  </si>
  <si>
    <t>While it looks great, I’d need things reversed with the colors of the jersey and numbers. The jersey being completely white, and the numbers being the colors from the away jerseys. The photos I sent before ordering are good for referencing. The logos on the sleeves are perfect though</t>
  </si>
  <si>
    <t>Personalization: Please refer to our message for details. 1. Panthers &amp; Jets + logos on the sleeves. 2. FORFA -half in black with panther blue outline/half Jetsgreen with black outline 3. 25 (2 panthers/5</t>
  </si>
  <si>
    <t>AOP V-neck Short-sleeve Jersey</t>
  </si>
  <si>
    <t>E-2401-09-dh-vit</t>
  </si>
  <si>
    <t>E-2401-09-dh-vit-3596562424</t>
  </si>
  <si>
    <t>L</t>
  </si>
  <si>
    <t>#3596562424</t>
  </si>
  <si>
    <t>Aimee Greenspan</t>
  </si>
  <si>
    <t>100 Pierson Miller Dr</t>
  </si>
  <si>
    <t>Apt E30</t>
  </si>
  <si>
    <t>POMPTON LAKES</t>
  </si>
  <si>
    <t>NJ</t>
  </si>
  <si>
    <t>United States</t>
  </si>
  <si>
    <t>07442-1052</t>
  </si>
  <si>
    <t>https://drive.google.com/file/d/1jIVFvnMcwhGLOgFCLdtnjeWhPUv2cgsU/view?usp=drive_link</t>
  </si>
  <si>
    <t>Is there any way that you can do the font and font colors that are on #7?</t>
  </si>
  <si>
    <t>Choose Design ( see Color Table image): 15 Personalization: No basketball image or background.Front: Front from #7 - Spring Break ‘25 Back: Emerson</t>
  </si>
  <si>
    <t>AOP Kid And Youth V-neck Sleeveless Jersey Tank Top</t>
  </si>
  <si>
    <t>E-0611002-dh-vit</t>
  </si>
  <si>
    <t>E-0611002-dh-vit-3596827304-1</t>
  </si>
  <si>
    <t>Youth S</t>
  </si>
  <si>
    <t>#3596827304</t>
  </si>
  <si>
    <t>Stephanie Zielinski</t>
  </si>
  <si>
    <t>795 74th Ave N</t>
  </si>
  <si>
    <t>ST PETERSBURG</t>
  </si>
  <si>
    <t>FL</t>
  </si>
  <si>
    <t>33702-5221</t>
  </si>
  <si>
    <t>1 mockup</t>
  </si>
  <si>
    <t>Choose Design ( see Color Table image): 15 Personalization: No basketball image or background.Front: Front from #7 - Spring Break ‘25 Back: ThatGuyAsher</t>
  </si>
  <si>
    <t>E-0611002-dh-vit-3596827304-2</t>
  </si>
  <si>
    <t>Youth XL</t>
  </si>
  <si>
    <t>Choose Design ( see Color Table image): 15 Personalization: No basketball image or background.Front: Front from #7 - Spring Break ‘25 Back: Hads</t>
  </si>
  <si>
    <t>E-0611002-dh-vit-3596827304-3</t>
  </si>
  <si>
    <t>Youth M</t>
  </si>
  <si>
    <t>Choose Design ( see Color Table image): 15 Personalization: No basketball image or background.Front: Front from #7 - Spring Break ‘25 Back: Malin</t>
  </si>
  <si>
    <t>E-0611002-dh-vit-3596827304-4</t>
  </si>
  <si>
    <t>4T</t>
  </si>
  <si>
    <t>Choose Design ( see Color Table image): 15 Personalization: No basketball image or background.Front: Front from #7 - Spring Break ‘25 Back: Jessie</t>
  </si>
  <si>
    <t>E-0611002-dh-vit-3596827304-5</t>
  </si>
  <si>
    <t>5T</t>
  </si>
  <si>
    <t>Choose Design ( see Color Table image): 15 Personalization: No basketball image or background.Front: Front from #7 - Spring Break ‘25 Back: Axel</t>
  </si>
  <si>
    <t>E-0611002-dh-vit-3596827304-6</t>
  </si>
  <si>
    <t>Youth L</t>
  </si>
  <si>
    <t>Choose Design ( see Color Table image): 15 Personalization: No basketball image or background.Front: Front from #7 - Spring Break ‘25 Back: Lil Mac</t>
  </si>
  <si>
    <t>E-0611002-dh-vit-3596827304-7</t>
  </si>
  <si>
    <t>Choose Design ( see Color Table image): 15 Personalization: No basketball image or background.Front: Front from #7 - Spring Break ‘25 Back: Mad Dog</t>
  </si>
  <si>
    <t>E-0611002-dh-vit-3596827304-8</t>
  </si>
  <si>
    <t>https://drive.google.com/file/d/1hOZQn2ObmrPyvcak9aHezeANai5btsL-/view?usp=drive_link</t>
  </si>
  <si>
    <t>cf number</t>
  </si>
  <si>
    <t>Design: 2 Personalization: Mardi Gras glam doll</t>
  </si>
  <si>
    <t>E-0102-07-dh-vit</t>
  </si>
  <si>
    <t>E-0102-07-dh-vit-3597371930-1</t>
  </si>
  <si>
    <t>#3597371930</t>
  </si>
  <si>
    <t>Tomika Pickney</t>
  </si>
  <si>
    <t>1019 plum st</t>
  </si>
  <si>
    <t>LAFAYETTE</t>
  </si>
  <si>
    <t>LA</t>
  </si>
  <si>
    <t>E-0102-07-dh-vit-3597371930-2</t>
  </si>
  <si>
    <t>M</t>
  </si>
  <si>
    <t>E-0102-07-dh-vit-3597371930-3</t>
  </si>
  <si>
    <t>E-0102-07-dh-vit-3597371930-4</t>
  </si>
  <si>
    <t>XL</t>
  </si>
  <si>
    <t>Message:Please keep this font and style for the “Snow Power”: https://i.etsystatic.com/icm/a7e915/747042886/icm_fullxfull.747042886_36km9nu76aio48kksw08.jpg?version=0</t>
  </si>
  <si>
    <t>Personalization: Name on the back : KYRA KYNANumber : 88</t>
  </si>
  <si>
    <t>ý tưởng của khách: https://i.etsystatic.com/icm/690aa0/746895152/icm_fullxfull.746895152_egch4lvkhsg848ocw8cc.jpg?version=0</t>
  </si>
  <si>
    <t>AOP Unisex Baseball Jersey without Pipping</t>
  </si>
  <si>
    <t>E-121001-dh-vit</t>
  </si>
  <si>
    <t>E-121001-dh-vit-3604781951</t>
  </si>
  <si>
    <t>#3604781951</t>
  </si>
  <si>
    <t>devi vidyapith</t>
  </si>
  <si>
    <t>900 Pear St</t>
  </si>
  <si>
    <t>Apt D</t>
  </si>
  <si>
    <t>CARTERVILLE</t>
  </si>
  <si>
    <t>IL</t>
  </si>
  <si>
    <t>Robinson ở back cho bé lại thêm gạch vàng ở cạnh gạch xanh: https://i.etsystatic.com/icm/2df8ee/747010614/icm_fullxfull.747010614_n5uitvtqpeog8c8888ok.jpg?version=0thêm viền vàng vào text: https://i.etsystatic.com/icm/db8eb2/747189358/icm_fullxfull.747189358_67ypj04zep0kkgooc4go.jpg?version=0</t>
  </si>
  <si>
    <t>Choose Design: 5I would want the name Robinson put above the 2 on the back.Personalization: Please see pictures and messages in messenger. Thank you!</t>
  </si>
  <si>
    <t>https://i.etsystatic.com/icm/9079e4/746862318/icm_fullxfull.746862318_hc1xividtdwksg440808.jpg?version=0https://i.etsystatic.com/icm/9c6815/751224263/icm_fullxfull.751224263_jsbxxagua4g48csg0440.jpg?version=0</t>
  </si>
  <si>
    <t>E-2506-08-dh-vit</t>
  </si>
  <si>
    <t>E-2506-08-dh-vit-3605137269</t>
  </si>
  <si>
    <t>#3605137269</t>
  </si>
  <si>
    <t>Krystal Fornwalt</t>
  </si>
  <si>
    <t>226 E Avon Rd</t>
  </si>
  <si>
    <t>Brookhaven</t>
  </si>
  <si>
    <t>PA</t>
  </si>
  <si>
    <t>https://drive.google.com/file/d/1BFqfJPJuf7pnQuZH3xOEazA05eSvDHqJ/view?usp=drive_link</t>
  </si>
  <si>
    <t>Design: 3 Personalization: 1. Holliday2. 25</t>
  </si>
  <si>
    <t>E-0301-06-dh-Tr</t>
  </si>
  <si>
    <t>E-0301-06-dh-Tr-3599538782</t>
  </si>
  <si>
    <t>2XL</t>
  </si>
  <si>
    <t>#3599538782</t>
  </si>
  <si>
    <t>Robyn Holliday</t>
  </si>
  <si>
    <t>1741 Baxter Road</t>
  </si>
  <si>
    <t>GLOSTER</t>
  </si>
  <si>
    <t>MS</t>
  </si>
  <si>
    <t>https://drive.google.com/file/d/1UvTH2ZW0FHDGH92g-fZZsDBT_ny2Vw2n/view?usp=drive_link</t>
  </si>
  <si>
    <t>Choose Design ( see Color Table image): 27Personalization: 1. 6’7ers 2. Goodbody 3. 1</t>
  </si>
  <si>
    <t>E-0611002-dh-vit-3599514582-1</t>
  </si>
  <si>
    <t>#3599514582</t>
  </si>
  <si>
    <t>Angelene Naro</t>
  </si>
  <si>
    <t>117 Fairhope Avenue</t>
  </si>
  <si>
    <t>FAIRHOPE</t>
  </si>
  <si>
    <t>AL</t>
  </si>
  <si>
    <t>Choose Design ( see Color Table image): 27Personalization: 1. 6’7ers 2. Gerhardt 3. 6</t>
  </si>
  <si>
    <t>E-0611002-dh-vit-3599514582-2</t>
  </si>
  <si>
    <t>Choose Design ( see Color Table image): 27Personalization: 1. 6’7ers 2. Naro 3. 3</t>
  </si>
  <si>
    <t>E-0611002-dh-vit-3599514582-3</t>
  </si>
  <si>
    <t>football</t>
  </si>
  <si>
    <t>Personalization: Dallas Cowboys logo on front, Green Baypackers logo on front, Cowboys &amp; Packers on back, number 88, Dallas Cowboys &amp; Green Bay Packers</t>
  </si>
  <si>
    <t>E-2401-09-dh-vit-3599503200</t>
  </si>
  <si>
    <t>#3599503200</t>
  </si>
  <si>
    <t>Brittani Brown</t>
  </si>
  <si>
    <t>PO Box 37</t>
  </si>
  <si>
    <t>23971 Sky View Dr</t>
  </si>
  <si>
    <t>IDYLLWILD</t>
  </si>
  <si>
    <t>CA</t>
  </si>
  <si>
    <t>https://drive.google.com/file/d/1OqNe7OST4CceUogxLlZThqnLwnpWh-wh/view?usp=drive_link</t>
  </si>
  <si>
    <t>Design: 3 Personalization: 1. Nicky2. Gutter Gang</t>
  </si>
  <si>
    <t>AOP Unisex Baseball Jersey (white button)</t>
  </si>
  <si>
    <t>E-2512-03-dh-vit</t>
  </si>
  <si>
    <t>E-2512-03-dh-vit-3599477164-1</t>
  </si>
  <si>
    <t>#3599477164</t>
  </si>
  <si>
    <t>Nicole Diaz</t>
  </si>
  <si>
    <t>160 W 850 N</t>
  </si>
  <si>
    <t>VALPARAISO</t>
  </si>
  <si>
    <t>IN</t>
  </si>
  <si>
    <t>Design: 3 Personalization: 1. Nick2. Gutter Gang</t>
  </si>
  <si>
    <t>E-2512-03-dh-vit-3599477164-2</t>
  </si>
  <si>
    <t>Design: 3 Personalization: 1. Will2. Gutter Gang</t>
  </si>
  <si>
    <t>E-2512-03-dh-vit-3599477164-3</t>
  </si>
  <si>
    <t>Design: 3 Personalization: 1. Jeremy2. Gutter Gang</t>
  </si>
  <si>
    <t>E-2512-03-dh-vit-3599477164-4</t>
  </si>
  <si>
    <t>3XL</t>
  </si>
  <si>
    <t>https://drive.google.com/file/d/1MTs5Imy38fDmvJUUS8e_9dkP3snyN-dv/view?usp=drive_link</t>
  </si>
  <si>
    <t>Design: 3 Personalization: 1. “Keith” on front, “Mohrey” on back2. “2” on front and back for the number</t>
  </si>
  <si>
    <t>mockup</t>
  </si>
  <si>
    <t>E-1701-dh6-HL</t>
  </si>
  <si>
    <t>E-1701-dh6-HL-3605996297</t>
  </si>
  <si>
    <t>#3605996297</t>
  </si>
  <si>
    <t>Chris Harvilla</t>
  </si>
  <si>
    <t>682 Columbia Ave</t>
  </si>
  <si>
    <t>PALMERTON</t>
  </si>
  <si>
    <t>18071-1402</t>
  </si>
  <si>
    <t>https://drive.google.com/file/d/1tT4PWwUMcqUnlr7vBSUnDgi6_Vy5Fk8t/view?usp=drive_link</t>
  </si>
  <si>
    <t>Design: 10 Personalization: 1. “Phillies”2. “Harvilla” 3. “4” front and back</t>
  </si>
  <si>
    <t>E-0612-02-dh-DoHa</t>
  </si>
  <si>
    <t>E-0612-02-dh-DoHa-3605996297</t>
  </si>
  <si>
    <t>https://drive.google.com/file/d/17b3axTG5q4NfCOQ2vhTbjOLkBWdU0n8A/view?usp=drive_link</t>
  </si>
  <si>
    <t>Design: 9 Personalization: 1. “Pirates”2. “Mohrey” 3. “3” front and back</t>
  </si>
  <si>
    <t>E-0602-dh2-Tr</t>
  </si>
  <si>
    <t>E-0602-dh2-Tr-3605996297</t>
  </si>
  <si>
    <t>https://drive.google.com/file/d/1D3_kFdfSd1z1YLVPncCDY64Gx2RkufTv/view?usp=drive_link</t>
  </si>
  <si>
    <t>Design: 3 Personalization: 1. “Vikings”2. “Mohrey” 3. “4” front and back</t>
  </si>
  <si>
    <t>E-1106-03-dh-Tr</t>
  </si>
  <si>
    <t>E-1106-03-dh-Tr-3605996297</t>
  </si>
  <si>
    <t>https://drive.google.com/file/d/1t32qwZtSzKhIGosHald3fKToCnKf8hJo/view?usp=drive_link</t>
  </si>
  <si>
    <t>Color: 24 Personalization: 1. “Eagles”2. “Harv” 3. “4”</t>
  </si>
  <si>
    <t>E-2310-01-dh-HL</t>
  </si>
  <si>
    <t>E-2310-01-dh-HL-3605996297</t>
  </si>
  <si>
    <t>https://drive.google.com/file/d/1zjRY43rqzgknPZu3Kqcvbe4uNVe1dB5b/view?usp=drive_link</t>
  </si>
  <si>
    <t>Personalization: Daddy</t>
  </si>
  <si>
    <t>E-0410007-dh-Tr2</t>
  </si>
  <si>
    <t>E-0410007-dh-Tr2-3605796711-1</t>
  </si>
  <si>
    <t>#3605796711</t>
  </si>
  <si>
    <t>Donna Mulder</t>
  </si>
  <si>
    <t>2500 E 41st Court</t>
  </si>
  <si>
    <t>DES MOINES</t>
  </si>
  <si>
    <t>IA</t>
  </si>
  <si>
    <t>Personalization: Mommy</t>
  </si>
  <si>
    <t>E-0410007-dh-Tr2-3605796711-2</t>
  </si>
  <si>
    <t>Choose Design ( see Color Table image): 27Personalization: 1. Akumal 2. Morley 3. 25</t>
  </si>
  <si>
    <t>AOP V-neck Sleeveless Jersey Tank Top</t>
  </si>
  <si>
    <t>E-0611002-dh-vit-3599275862-1</t>
  </si>
  <si>
    <t>#3599275862</t>
  </si>
  <si>
    <t>Mike Hynek</t>
  </si>
  <si>
    <t>10 Maybury Rd</t>
  </si>
  <si>
    <t>SUFFIELD</t>
  </si>
  <si>
    <t>CT</t>
  </si>
  <si>
    <t>Choose Design ( see Color Table image): 27Personalization: 1. Akumal 2. Dowd 3. 25</t>
  </si>
  <si>
    <t>E-0611002-dh-vit-3599275862-2</t>
  </si>
  <si>
    <t>https://drive.google.com/file/d/1j1uGfoGYtxGEpkv0uSHrhOQbjsdydWmz/view?usp=drive_link</t>
  </si>
  <si>
    <t>Choose Design ( see Color Table image): 4Personalization: 1. Akumal2. Hynek3. 25</t>
  </si>
  <si>
    <t>E-0611002-dh-vit-3599275862-3</t>
  </si>
  <si>
    <t>Choose Design ( see Color Table image): 27Personalization: 1. Akumal 2. Marcoux 3. 25</t>
  </si>
  <si>
    <t>E-0611002-dh-vit-3599275862-4</t>
  </si>
  <si>
    <t>Choose Design ( see Color Table image): 27Personalization: 1. Akumal 2. Brin 3. 25</t>
  </si>
  <si>
    <t>E-0611002-dh-vit-3599275862-5</t>
  </si>
  <si>
    <t>https://drive.google.com/file/d/17tby8YbAwjBm0YCKnZS0dN0BerAP3cNn/view?usp=drive_link</t>
  </si>
  <si>
    <t>Personalization: 1.Myles2. 1</t>
  </si>
  <si>
    <t>AOP Kids and Youth Baseball Jersey without Pipping (white button)</t>
  </si>
  <si>
    <t>E-1005007-dh-vit</t>
  </si>
  <si>
    <t>E-1005007-dh-vit-3605685093</t>
  </si>
  <si>
    <t>2T</t>
  </si>
  <si>
    <t>#3605685093</t>
  </si>
  <si>
    <t>alexis ortega</t>
  </si>
  <si>
    <t>13669 Goyo Garcia Rd</t>
  </si>
  <si>
    <t>RAYMONDVILLE</t>
  </si>
  <si>
    <t>TX</t>
  </si>
  <si>
    <t>78580-4798</t>
  </si>
  <si>
    <t>https://drive.google.com/file/d/1gQtyRWyykvVaWDxVK1h3FlgORgDaLoTm/view?usp=drive_link</t>
  </si>
  <si>
    <t>Design: 2 Personalization: 1. thrift queen2. mari 3. 22</t>
  </si>
  <si>
    <t>E-2909005-dh-vit</t>
  </si>
  <si>
    <t>E-2909005-dh-vit-3599157726</t>
  </si>
  <si>
    <t>#3599157726</t>
  </si>
  <si>
    <t>Ayala Giveon</t>
  </si>
  <si>
    <t>prof' Einstein 6</t>
  </si>
  <si>
    <t>apartment 1, 1st floor</t>
  </si>
  <si>
    <t>REHOVOT</t>
  </si>
  <si>
    <t>Israel</t>
  </si>
  <si>
    <t>https://drive.google.com/file/d/1tUlkBkEo4e9WOhcdUD9-Oi7aj3iCcfsF/view?usp=drive_link</t>
  </si>
  <si>
    <t>Design: 1 Personalization: Name: NOLA Number: 25</t>
  </si>
  <si>
    <t>E-0102-07-dh-vit-3605641025-1</t>
  </si>
  <si>
    <t>#3605641025</t>
  </si>
  <si>
    <t>Jordan Reed</t>
  </si>
  <si>
    <t>2642 S Mesa Ave</t>
  </si>
  <si>
    <t>YUMA</t>
  </si>
  <si>
    <t>AZ</t>
  </si>
  <si>
    <t>Design: 2 Personalization: Name: NOLA Number: 25</t>
  </si>
  <si>
    <t>E-0102-07-dh-vit-3605641025-2</t>
  </si>
  <si>
    <t>Personalization: RIVER1</t>
  </si>
  <si>
    <t>E-1005007-dh-vit-3605616597</t>
  </si>
  <si>
    <t>12M</t>
  </si>
  <si>
    <t>#3605616597</t>
  </si>
  <si>
    <t>Aaron Sotelo</t>
  </si>
  <si>
    <t>423 Colorado Dr</t>
  </si>
  <si>
    <t>SAN BENITO</t>
  </si>
  <si>
    <t>https://drive.google.com/file/d/1dkwmABZmew5BQcmOC1wewpfAN5JAz96a/view?usp=drive_link</t>
  </si>
  <si>
    <t>Design: 5 Personalization: FamiliaRIVERA 78</t>
  </si>
  <si>
    <t>E-2609002-dh-vit</t>
  </si>
  <si>
    <t>E-2609002-dh-vit-3599115564</t>
  </si>
  <si>
    <t>#3599115564</t>
  </si>
  <si>
    <t>Daniel Rivera</t>
  </si>
  <si>
    <t>Binzmühlestrasse 367</t>
  </si>
  <si>
    <t>Affoltern Zürich</t>
  </si>
  <si>
    <t>Switzerland</t>
  </si>
  <si>
    <t>Design: 1 Personalization: 1. Shay Shay 2. 88</t>
  </si>
  <si>
    <t>E-0102-07-dh-vit-3605493317</t>
  </si>
  <si>
    <t>#3605493317</t>
  </si>
  <si>
    <t>Sherika Hill</t>
  </si>
  <si>
    <t>315 e haig street</t>
  </si>
  <si>
    <t>MOBILE</t>
  </si>
  <si>
    <t>https://drive.google.com/file/d/1v-30z3_Crbn6KXKo9tRjFUk7r_7PUp9i/view?usp=drive_link</t>
  </si>
  <si>
    <t>Design: 3 Personalization: 1. Team Name: Mahony’s2. Name: Raven 3. Number: 07</t>
  </si>
  <si>
    <t>E-2709001-dh-vit</t>
  </si>
  <si>
    <t>E-2709001-dh-vit-3605451305</t>
  </si>
  <si>
    <t>#3605451305</t>
  </si>
  <si>
    <t>Raven Bonvillain</t>
  </si>
  <si>
    <t>221 Belle Vue Ave</t>
  </si>
  <si>
    <t>LOCKPORT</t>
  </si>
  <si>
    <t xml:space="preserve">File thiết kế </t>
  </si>
  <si>
    <t>File in mẫu</t>
  </si>
  <si>
    <t>File in (gôp)</t>
  </si>
  <si>
    <t xml:space="preserve">Loại áo </t>
  </si>
  <si>
    <t>SKU</t>
  </si>
  <si>
    <t>Tên xuất file in</t>
  </si>
  <si>
    <t>Màu Cúc Áo</t>
  </si>
  <si>
    <t>Mã barcode tự phát sinh từ Order</t>
  </si>
  <si>
    <t>Quantity</t>
  </si>
  <si>
    <t>Date</t>
  </si>
  <si>
    <t>https://i.etsystatic.com/38852545/r/il/7b353f/6369296714/il_794xN.6369296714_d8jp.jpg</t>
  </si>
  <si>
    <t>SizeAdult M
Design Color#1
Personalization
1. Phi Sigma Sigma
2. Big
3. 25</t>
  </si>
  <si>
    <t>https://drive.google.com/file/d/1JVVfz04ieMXZYyKP6ML1xOxNKioyULd4/view?usp=sharing</t>
  </si>
  <si>
    <t>https://drive.google.com/file/d/1EJt2P2BBp8j5w4qdohPqyv19RMAwQJWT/view?usp=drive_link</t>
  </si>
  <si>
    <t>https://drive.google.com/file/d/15uVdfVe821I4Wp-mNlZkslQyn2Rw08cw/view?usp=drive_link</t>
  </si>
  <si>
    <t>BCNL-IN</t>
  </si>
  <si>
    <t>161002-nt-Baseball Jersey-duy</t>
  </si>
  <si>
    <t>Adult M</t>
  </si>
  <si>
    <t>Đen</t>
  </si>
  <si>
    <t>#3805564513</t>
  </si>
  <si>
    <t>Nina Perez</t>
  </si>
  <si>
    <t>1100 W Montgomery Ave</t>
  </si>
  <si>
    <t>Apt 1015</t>
  </si>
  <si>
    <t>PHILADELPHIA</t>
  </si>
  <si>
    <t xml:space="preserve">PA </t>
  </si>
  <si>
    <t>19122-2739</t>
  </si>
  <si>
    <t>https://drive.google.com/file/d/13krY93jmDAPyY0IfIyeHTXY5SpsvvJpZ/view?usp=drive_link</t>
  </si>
  <si>
    <t>lẻ</t>
  </si>
  <si>
    <t>https://drive.google.com/file/d/1P_CtHKAMTMtBnU-TTzu0j7pxNgmeVi-v/view?usp=sharing</t>
  </si>
  <si>
    <t>https://drive.google.com/file/d/1vu934jPAaAtWs19clun7SuZxWXGU1-9I/view?usp=drive_link</t>
  </si>
  <si>
    <t>https://drive.google.com/file/d/1bSd22yUUQv7v91dOqIKBVLTpZXpCLBr_/view?usp=drive_link</t>
  </si>
  <si>
    <t>https://drive.google.com/file/d/1axFEjaEDE8lo6ug1S--Wrcdbycf-ZJfB/view?usp=drive_link</t>
  </si>
  <si>
    <t>https://drive.google.com/file/d/1wXdtHkiJUWY2OK2gSy-hH16pLve00OqD/view?usp=drive_link</t>
  </si>
  <si>
    <t>https://drive.google.com/file/d/1eYIR7zT5Av7nfLFJTZ1tomEInv3A4srk/view?usp=drive_link</t>
  </si>
  <si>
    <t>https://drive.google.com/file/d/14nM9llbZiGqhv5YFL6ZRSjOp8cru1iie/view?usp=drive_link</t>
  </si>
  <si>
    <t>https://drive.google.com/file/d/1gDfznPCbVZaIQVmS-4PFq0bqESK0EXHx/view?usp=drive_link</t>
  </si>
  <si>
    <t>https://drive.google.com/file/d/1XZyLoa8QC_7QGT6wy0wwnZdVl6sriXyo/view?usp=drive_link</t>
  </si>
  <si>
    <t>https://drive.google.com/file/d/1cbav8F7Hc0HFBTJhY1R3dWvLdWL1q2WX/view?usp=drive_link</t>
  </si>
  <si>
    <t>Khổ 50x30mm</t>
  </si>
  <si>
    <t>VINNIE THAM
4670 ASSEMBLY WAY, UNIT 4209 (BUZZER 3507)
BURNABY, BC, Canada, V5H0H3</t>
  </si>
  <si>
    <t>Tên + Địa chỉ</t>
  </si>
  <si>
    <t>Tên</t>
  </si>
  <si>
    <t>Address 1, Address 2</t>
  </si>
  <si>
    <t>City, States, Country, postalCode</t>
  </si>
  <si>
    <t>Order ID</t>
  </si>
  <si>
    <t>Adult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</si>
</sst>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đ-42A]"/>
    <numFmt numFmtId="165" formatCode="dd/mm"/>
    <numFmt numFmtId="166" formatCode="#00000"/>
  </numFmts>
  <fonts count="15">
    <font>
      <sz val="10"/>
      <color rgb="FF000000"/>
      <name val="Arial"/>
      <scheme val="minor"/>
    </font>
    <font>
      <sz val="10"/>
      <color rgb="FF000000"/>
      <name val="&quot;Helvetica Neue&quot;"/>
    </font>
    <font>
      <sz val="11"/>
      <color rgb="FF000000"/>
      <name val="Calibri"/>
    </font>
    <font>
      <sz val="10"/>
      <color rgb="FF000000"/>
      <name val="Arial"/>
    </font>
    <font>
      <u/>
      <sz val="10"/>
      <color rgb="FF1155CC"/>
      <name val="Arial"/>
    </font>
    <font>
      <b/>
      <sz val="10"/>
      <color rgb="FF000000"/>
      <name val="&quot;Helvetica Neue&quot;"/>
    </font>
    <font>
      <b/>
      <sz val="10"/>
      <color rgb="FF000000"/>
      <name val="Arial"/>
    </font>
    <font>
      <u/>
      <sz val="10"/>
      <color rgb="FF1155CC"/>
      <name val="Arial"/>
    </font>
    <font>
      <sz val="10"/>
      <color theme="1"/>
      <name val="Arial"/>
    </font>
    <font>
      <b/>
      <sz val="10"/>
      <color theme="1"/>
      <name val="Arial"/>
    </font>
    <font>
      <u/>
      <sz val="10"/>
      <color rgb="FF1155CC"/>
      <name val="Arial"/>
    </font>
    <font>
      <u/>
      <sz val="10"/>
      <color rgb="FF0000FF"/>
      <name val="Arial"/>
    </font>
    <font>
      <sz val="11"/>
      <color theme="1"/>
      <name val="Arial"/>
    </font>
    <font>
      <u/>
      <sz val="10"/>
      <color rgb="FF1155CC"/>
      <name val="Arial"/>
    </font>
    <font>
      <sz val="10"/>
      <color theme="1"/>
      <name val="Arial"/>
      <scheme val="minor"/>
    </font>
  </fonts>
  <fills count="15">
    <fill>
      <patternFill patternType="none"/>
    </fill>
    <fill>
      <patternFill patternType="gray125"/>
    </fill>
    <fill>
      <patternFill patternType="solid">
        <fgColor rgb="FFFFFFFF"/>
        <bgColor rgb="FFFFFFFF"/>
      </patternFill>
    </fill>
    <fill>
      <patternFill patternType="solid">
        <fgColor rgb="FFFFFF00"/>
        <bgColor rgb="FFFFFF00"/>
      </patternFill>
    </fill>
    <fill>
      <patternFill patternType="solid">
        <fgColor rgb="FFFFF2CC"/>
        <bgColor rgb="FFFFF2CC"/>
      </patternFill>
    </fill>
    <fill>
      <patternFill patternType="solid">
        <fgColor rgb="FF93C47D"/>
        <bgColor rgb="FF93C47D"/>
      </patternFill>
    </fill>
    <fill>
      <patternFill patternType="solid">
        <fgColor rgb="FFEAD1DC"/>
        <bgColor rgb="FFEAD1DC"/>
      </patternFill>
    </fill>
    <fill>
      <patternFill patternType="solid">
        <fgColor rgb="FFA2C4C9"/>
        <bgColor rgb="FFA2C4C9"/>
      </patternFill>
    </fill>
    <fill>
      <patternFill patternType="solid">
        <fgColor rgb="FFFCE5CD"/>
        <bgColor rgb="FFFCE5C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D9EAD3"/>
        <bgColor rgb="FFD9EAD3"/>
      </patternFill>
    </fill>
    <fill>
      <patternFill patternType="solid">
        <fgColor rgb="FFCCCCCC"/>
        <bgColor rgb="FFCCCCCC"/>
      </patternFill>
    </fill>
    <fill>
      <patternFill patternType="solid">
        <fgColor rgb="FF00FF00"/>
        <bgColor rgb="FF00FF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2">
    <xf numFmtId="0" fontId="0" fillId="0" borderId="0" xfId="0" applyFont="1" applyAlignment="1"/>
    <xf numFmtId="0" fontId="1" fillId="0" borderId="0" xfId="0" applyFont="1" applyAlignment="1"/>
    <xf numFmtId="0" fontId="1" fillId="0" borderId="0" xfId="0" applyFont="1" applyAlignment="1">
      <alignment horizontal="center"/>
    </xf>
    <xf numFmtId="0" fontId="1" fillId="2" borderId="0" xfId="0" applyFont="1" applyFill="1" applyAlignment="1">
      <alignment horizontal="center"/>
    </xf>
    <xf numFmtId="0" fontId="2" fillId="0" borderId="0" xfId="0" applyFont="1" applyAlignment="1"/>
    <xf numFmtId="0" fontId="3" fillId="0" borderId="0" xfId="0" applyFont="1" applyAlignment="1"/>
    <xf numFmtId="0" fontId="3" fillId="0" borderId="0" xfId="0" applyFont="1"/>
    <xf numFmtId="0" fontId="4" fillId="0" borderId="0" xfId="0" applyFont="1" applyAlignment="1"/>
    <xf numFmtId="164" fontId="3" fillId="0" borderId="0" xfId="0" applyNumberFormat="1" applyFont="1" applyAlignment="1"/>
    <xf numFmtId="164" fontId="3" fillId="3" borderId="0" xfId="0" applyNumberFormat="1" applyFont="1" applyFill="1" applyAlignment="1"/>
    <xf numFmtId="0" fontId="3" fillId="0" borderId="0" xfId="0" applyFont="1" applyAlignment="1"/>
    <xf numFmtId="0" fontId="3" fillId="0" borderId="0" xfId="0" applyFont="1" applyAlignment="1"/>
    <xf numFmtId="0" fontId="5" fillId="4" borderId="0" xfId="0" applyFont="1" applyFill="1" applyAlignment="1"/>
    <xf numFmtId="0" fontId="3" fillId="5" borderId="0" xfId="0" applyFont="1" applyFill="1" applyAlignment="1"/>
    <xf numFmtId="0" fontId="3" fillId="0" borderId="0" xfId="0" applyFont="1" applyAlignment="1">
      <alignment horizontal="center"/>
    </xf>
    <xf numFmtId="0" fontId="6" fillId="0" borderId="0" xfId="0" applyFont="1" applyAlignment="1">
      <alignment horizontal="right"/>
    </xf>
    <xf numFmtId="0" fontId="3" fillId="0" borderId="0" xfId="0" applyFont="1" applyAlignment="1">
      <alignment horizontal="right"/>
    </xf>
    <xf numFmtId="165" fontId="3" fillId="0" borderId="0" xfId="0" applyNumberFormat="1" applyFont="1" applyAlignment="1"/>
    <xf numFmtId="164" fontId="3" fillId="3" borderId="0" xfId="0" applyNumberFormat="1" applyFont="1" applyFill="1" applyAlignment="1"/>
    <xf numFmtId="164" fontId="3" fillId="0" borderId="0" xfId="0" applyNumberFormat="1" applyFont="1" applyAlignment="1"/>
    <xf numFmtId="0" fontId="1" fillId="6" borderId="0" xfId="0" applyFont="1" applyFill="1" applyAlignment="1"/>
    <xf numFmtId="0" fontId="1" fillId="7" borderId="0" xfId="0" applyFont="1" applyFill="1" applyAlignment="1"/>
    <xf numFmtId="164" fontId="3" fillId="0" borderId="0" xfId="0" applyNumberFormat="1" applyFont="1" applyAlignment="1"/>
    <xf numFmtId="164" fontId="3" fillId="6" borderId="0" xfId="0" applyNumberFormat="1" applyFont="1" applyFill="1" applyAlignment="1"/>
    <xf numFmtId="0" fontId="3" fillId="6" borderId="0" xfId="0" applyFont="1" applyFill="1" applyAlignment="1"/>
    <xf numFmtId="0" fontId="3" fillId="0" borderId="0" xfId="0" applyFont="1" applyAlignment="1"/>
    <xf numFmtId="0" fontId="5" fillId="4" borderId="0" xfId="0" applyFont="1" applyFill="1" applyAlignment="1"/>
    <xf numFmtId="0" fontId="3" fillId="3" borderId="0" xfId="0" applyFont="1" applyFill="1" applyAlignment="1"/>
    <xf numFmtId="0" fontId="6" fillId="0" borderId="0" xfId="0" applyFont="1" applyAlignment="1"/>
    <xf numFmtId="0" fontId="3" fillId="8" borderId="0" xfId="0" applyFont="1" applyFill="1" applyAlignment="1"/>
    <xf numFmtId="0" fontId="5" fillId="9" borderId="0" xfId="0" applyFont="1" applyFill="1" applyAlignment="1"/>
    <xf numFmtId="0" fontId="3" fillId="10" borderId="0" xfId="0" applyFont="1" applyFill="1" applyAlignment="1"/>
    <xf numFmtId="0" fontId="3" fillId="4" borderId="0" xfId="0" applyFont="1" applyFill="1" applyAlignment="1"/>
    <xf numFmtId="0" fontId="3" fillId="11" borderId="0" xfId="0" applyFont="1" applyFill="1" applyAlignment="1"/>
    <xf numFmtId="0" fontId="5" fillId="0" borderId="0" xfId="0" applyFont="1" applyAlignment="1"/>
    <xf numFmtId="0" fontId="5" fillId="12" borderId="0" xfId="0" applyFont="1" applyFill="1" applyAlignment="1"/>
    <xf numFmtId="0" fontId="7" fillId="0" borderId="0" xfId="0" applyFont="1" applyAlignment="1"/>
    <xf numFmtId="0" fontId="3" fillId="13" borderId="0" xfId="0" applyFont="1" applyFill="1" applyAlignment="1"/>
    <xf numFmtId="0" fontId="8" fillId="0" borderId="0" xfId="0" applyFont="1"/>
    <xf numFmtId="0" fontId="9" fillId="0" borderId="0" xfId="0" applyFont="1" applyAlignment="1"/>
    <xf numFmtId="0" fontId="9" fillId="14" borderId="0" xfId="0" applyFont="1" applyFill="1" applyAlignment="1"/>
    <xf numFmtId="0" fontId="8" fillId="0" borderId="0" xfId="0" applyFont="1" applyAlignment="1"/>
    <xf numFmtId="0" fontId="9" fillId="14" borderId="0" xfId="0" applyFont="1" applyFill="1" applyAlignment="1">
      <alignment horizontal="center"/>
    </xf>
    <xf numFmtId="0" fontId="9" fillId="14" borderId="0" xfId="0" applyFont="1" applyFill="1" applyAlignment="1">
      <alignment horizontal="center"/>
    </xf>
    <xf numFmtId="0" fontId="9" fillId="0" borderId="0" xfId="0" applyFont="1" applyAlignment="1">
      <alignment horizontal="center"/>
    </xf>
    <xf numFmtId="166" fontId="9" fillId="0" borderId="0" xfId="0" applyNumberFormat="1" applyFont="1" applyAlignment="1"/>
    <xf numFmtId="0" fontId="8" fillId="0" borderId="0" xfId="0" applyFont="1" applyAlignment="1"/>
    <xf numFmtId="0" fontId="10" fillId="0" borderId="0" xfId="0" applyFont="1" applyAlignment="1"/>
    <xf numFmtId="0" fontId="11" fillId="14" borderId="0" xfId="0" applyFont="1" applyFill="1" applyAlignment="1"/>
    <xf numFmtId="0" fontId="8" fillId="14" borderId="0" xfId="0" applyFont="1" applyFill="1" applyAlignment="1">
      <alignment horizontal="center"/>
    </xf>
    <xf numFmtId="0" fontId="8" fillId="14" borderId="0" xfId="0" applyFont="1" applyFill="1" applyAlignment="1"/>
    <xf numFmtId="0" fontId="8" fillId="0" borderId="0" xfId="0" applyFont="1" applyAlignment="1">
      <alignment horizontal="center"/>
    </xf>
    <xf numFmtId="0" fontId="12" fillId="0" borderId="0" xfId="0" applyFont="1" applyAlignment="1"/>
    <xf numFmtId="0" fontId="13" fillId="14" borderId="0" xfId="0" applyFont="1" applyFill="1" applyAlignment="1"/>
    <xf numFmtId="0" fontId="14" fillId="14" borderId="0" xfId="0" applyFont="1" applyFill="1"/>
    <xf numFmtId="0" fontId="14" fillId="0" borderId="0" xfId="0" applyFont="1" applyAlignment="1"/>
    <xf numFmtId="0" fontId="14" fillId="0" borderId="1" xfId="0" applyFont="1" applyBorder="1" applyAlignment="1">
      <alignment horizontal="left" vertical="center"/>
    </xf>
    <xf numFmtId="0" fontId="14" fillId="0" borderId="0" xfId="0" applyFont="1" applyAlignment="1">
      <alignment horizontal="left"/>
    </xf>
    <xf numFmtId="0" fontId="10" fillId="0" borderId="0" xfId="0" applyFont="1" applyAlignment="1"/>
    <xf numFmtId="0" fontId="0" fillId="0" borderId="0" xfId="0" applyFont="1" applyAlignment="1"/>
    <xf numFmtId="0" fontId="10" fillId="0" borderId="0" xfId="0" applyFont="1" applyAlignme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file/d/1hOZQn2ObmrPyvcak9aHezeANai5btsL-/view?usp=drive_link" TargetMode="External"/><Relationship Id="rId18" Type="http://schemas.openxmlformats.org/officeDocument/2006/relationships/hyperlink" Target="https://drive.google.com/file/d/1UvTH2ZW0FHDGH92g-fZZsDBT_ny2Vw2n/view?usp=drive_link" TargetMode="External"/><Relationship Id="rId26" Type="http://schemas.openxmlformats.org/officeDocument/2006/relationships/hyperlink" Target="https://drive.google.com/file/d/1D3_kFdfSd1z1YLVPncCDY64Gx2RkufTv/view?usp=drive_link" TargetMode="External"/><Relationship Id="rId39" Type="http://schemas.openxmlformats.org/officeDocument/2006/relationships/hyperlink" Target="https://drive.google.com/file/d/17tby8YbAwjBm0YCKnZS0dN0BerAP3cNn/view?usp=drive_link" TargetMode="External"/><Relationship Id="rId21" Type="http://schemas.openxmlformats.org/officeDocument/2006/relationships/hyperlink" Target="https://drive.google.com/file/d/1OqNe7OST4CceUogxLlZThqnLwnpWh-wh/view?usp=drive_link" TargetMode="External"/><Relationship Id="rId34" Type="http://schemas.openxmlformats.org/officeDocument/2006/relationships/hyperlink" Target="https://drive.google.com/file/d/1UvTH2ZW0FHDGH92g-fZZsDBT_ny2Vw2n/view?usp=drive_link" TargetMode="External"/><Relationship Id="rId42" Type="http://schemas.openxmlformats.org/officeDocument/2006/relationships/hyperlink" Target="https://drive.google.com/file/d/1v-30z3_Crbn6KXKo9tRjFUk7r_7PUp9i/view?usp=drive_link" TargetMode="External"/><Relationship Id="rId7" Type="http://schemas.openxmlformats.org/officeDocument/2006/relationships/hyperlink" Target="https://drive.google.com/file/d/1jIVFvnMcwhGLOgFCLdtnjeWhPUv2cgsU/view?usp=drive_link" TargetMode="External"/><Relationship Id="rId2" Type="http://schemas.openxmlformats.org/officeDocument/2006/relationships/hyperlink" Target="https://drive.google.com/file/d/1jIVFvnMcwhGLOgFCLdtnjeWhPUv2cgsU/view?usp=drive_link" TargetMode="External"/><Relationship Id="rId16" Type="http://schemas.openxmlformats.org/officeDocument/2006/relationships/hyperlink" Target="https://drive.google.com/file/d/1UvTH2ZW0FHDGH92g-fZZsDBT_ny2Vw2n/view?usp=drive_link" TargetMode="External"/><Relationship Id="rId20" Type="http://schemas.openxmlformats.org/officeDocument/2006/relationships/hyperlink" Target="https://drive.google.com/file/d/1OqNe7OST4CceUogxLlZThqnLwnpWh-wh/view?usp=drive_link" TargetMode="External"/><Relationship Id="rId29" Type="http://schemas.openxmlformats.org/officeDocument/2006/relationships/hyperlink" Target="https://drive.google.com/file/d/1zjRY43rqzgknPZu3Kqcvbe4uNVe1dB5b/view?usp=drive_link" TargetMode="External"/><Relationship Id="rId41" Type="http://schemas.openxmlformats.org/officeDocument/2006/relationships/hyperlink" Target="https://drive.google.com/file/d/1tUlkBkEo4e9WOhcdUD9-Oi7aj3iCcfsF/view?usp=drive_link" TargetMode="External"/><Relationship Id="rId1" Type="http://schemas.openxmlformats.org/officeDocument/2006/relationships/hyperlink" Target="https://drive.google.com/file/d/1qGl743L7gdrlcnJjL8mtcQuGQPqFIVSq/view?usp=drive_link" TargetMode="External"/><Relationship Id="rId6" Type="http://schemas.openxmlformats.org/officeDocument/2006/relationships/hyperlink" Target="https://drive.google.com/file/d/1jIVFvnMcwhGLOgFCLdtnjeWhPUv2cgsU/view?usp=drive_link" TargetMode="External"/><Relationship Id="rId11" Type="http://schemas.openxmlformats.org/officeDocument/2006/relationships/hyperlink" Target="https://drive.google.com/file/d/1hOZQn2ObmrPyvcak9aHezeANai5btsL-/view?usp=drive_link" TargetMode="External"/><Relationship Id="rId24" Type="http://schemas.openxmlformats.org/officeDocument/2006/relationships/hyperlink" Target="https://drive.google.com/file/d/1tT4PWwUMcqUnlr7vBSUnDgi6_Vy5Fk8t/view?usp=drive_link" TargetMode="External"/><Relationship Id="rId32" Type="http://schemas.openxmlformats.org/officeDocument/2006/relationships/hyperlink" Target="https://drive.google.com/file/d/1j1uGfoGYtxGEpkv0uSHrhOQbjsdydWmz/view?usp=drive_link" TargetMode="External"/><Relationship Id="rId37" Type="http://schemas.openxmlformats.org/officeDocument/2006/relationships/hyperlink" Target="https://drive.google.com/file/d/1tUlkBkEo4e9WOhcdUD9-Oi7aj3iCcfsF/view?usp=drive_link" TargetMode="External"/><Relationship Id="rId40" Type="http://schemas.openxmlformats.org/officeDocument/2006/relationships/hyperlink" Target="https://drive.google.com/file/d/1dkwmABZmew5BQcmOC1wewpfAN5JAz96a/view?usp=drive_link" TargetMode="External"/><Relationship Id="rId5" Type="http://schemas.openxmlformats.org/officeDocument/2006/relationships/hyperlink" Target="https://drive.google.com/file/d/1jIVFvnMcwhGLOgFCLdtnjeWhPUv2cgsU/view?usp=drive_link" TargetMode="External"/><Relationship Id="rId15" Type="http://schemas.openxmlformats.org/officeDocument/2006/relationships/hyperlink" Target="https://drive.google.com/file/d/1BFqfJPJuf7pnQuZH3xOEazA05eSvDHqJ/view?usp=drive_link" TargetMode="External"/><Relationship Id="rId23" Type="http://schemas.openxmlformats.org/officeDocument/2006/relationships/hyperlink" Target="https://drive.google.com/file/d/1MTs5Imy38fDmvJUUS8e_9dkP3snyN-dv/view?usp=drive_link" TargetMode="External"/><Relationship Id="rId28" Type="http://schemas.openxmlformats.org/officeDocument/2006/relationships/hyperlink" Target="https://drive.google.com/file/d/1zjRY43rqzgknPZu3Kqcvbe4uNVe1dB5b/view?usp=drive_link" TargetMode="External"/><Relationship Id="rId36" Type="http://schemas.openxmlformats.org/officeDocument/2006/relationships/hyperlink" Target="https://drive.google.com/file/d/1gQtyRWyykvVaWDxVK1h3FlgORgDaLoTm/view?usp=drive_link" TargetMode="External"/><Relationship Id="rId10" Type="http://schemas.openxmlformats.org/officeDocument/2006/relationships/hyperlink" Target="https://drive.google.com/file/d/1hOZQn2ObmrPyvcak9aHezeANai5btsL-/view?usp=drive_link" TargetMode="External"/><Relationship Id="rId19" Type="http://schemas.openxmlformats.org/officeDocument/2006/relationships/hyperlink" Target="https://drive.google.com/file/d/1OqNe7OST4CceUogxLlZThqnLwnpWh-wh/view?usp=drive_link" TargetMode="External"/><Relationship Id="rId31" Type="http://schemas.openxmlformats.org/officeDocument/2006/relationships/hyperlink" Target="https://drive.google.com/file/d/1UvTH2ZW0FHDGH92g-fZZsDBT_ny2Vw2n/view?usp=drive_link" TargetMode="External"/><Relationship Id="rId4" Type="http://schemas.openxmlformats.org/officeDocument/2006/relationships/hyperlink" Target="https://drive.google.com/file/d/1jIVFvnMcwhGLOgFCLdtnjeWhPUv2cgsU/view?usp=drive_link" TargetMode="External"/><Relationship Id="rId9" Type="http://schemas.openxmlformats.org/officeDocument/2006/relationships/hyperlink" Target="https://drive.google.com/file/d/1jIVFvnMcwhGLOgFCLdtnjeWhPUv2cgsU/view?usp=drive_link" TargetMode="External"/><Relationship Id="rId14" Type="http://schemas.openxmlformats.org/officeDocument/2006/relationships/hyperlink" Target="https://i.etsystatic.com/icm/9079e4/746862318/icm_fullxfull.746862318_hc1xividtdwksg440808.jpg?version=0https://i.etsystatic.com/icm/9c6815/751224263/icm_fullxfull.751224263_jsbxxagua4g48csg0440.jpg?version=0" TargetMode="External"/><Relationship Id="rId22" Type="http://schemas.openxmlformats.org/officeDocument/2006/relationships/hyperlink" Target="https://drive.google.com/file/d/1OqNe7OST4CceUogxLlZThqnLwnpWh-wh/view?usp=drive_link" TargetMode="External"/><Relationship Id="rId27" Type="http://schemas.openxmlformats.org/officeDocument/2006/relationships/hyperlink" Target="https://drive.google.com/file/d/1t32qwZtSzKhIGosHald3fKToCnKf8hJo/view?usp=drive_link" TargetMode="External"/><Relationship Id="rId30" Type="http://schemas.openxmlformats.org/officeDocument/2006/relationships/hyperlink" Target="https://drive.google.com/file/d/1UvTH2ZW0FHDGH92g-fZZsDBT_ny2Vw2n/view?usp=drive_link" TargetMode="External"/><Relationship Id="rId35" Type="http://schemas.openxmlformats.org/officeDocument/2006/relationships/hyperlink" Target="https://drive.google.com/file/d/17tby8YbAwjBm0YCKnZS0dN0BerAP3cNn/view?usp=drive_link" TargetMode="External"/><Relationship Id="rId8" Type="http://schemas.openxmlformats.org/officeDocument/2006/relationships/hyperlink" Target="https://drive.google.com/file/d/1jIVFvnMcwhGLOgFCLdtnjeWhPUv2cgsU/view?usp=drive_link" TargetMode="External"/><Relationship Id="rId3" Type="http://schemas.openxmlformats.org/officeDocument/2006/relationships/hyperlink" Target="https://drive.google.com/file/d/1jIVFvnMcwhGLOgFCLdtnjeWhPUv2cgsU/view?usp=drive_link" TargetMode="External"/><Relationship Id="rId12" Type="http://schemas.openxmlformats.org/officeDocument/2006/relationships/hyperlink" Target="https://drive.google.com/file/d/1hOZQn2ObmrPyvcak9aHezeANai5btsL-/view?usp=drive_link" TargetMode="External"/><Relationship Id="rId17" Type="http://schemas.openxmlformats.org/officeDocument/2006/relationships/hyperlink" Target="https://drive.google.com/file/d/1UvTH2ZW0FHDGH92g-fZZsDBT_ny2Vw2n/view?usp=drive_link" TargetMode="External"/><Relationship Id="rId25" Type="http://schemas.openxmlformats.org/officeDocument/2006/relationships/hyperlink" Target="https://drive.google.com/file/d/17b3axTG5q4NfCOQ2vhTbjOLkBWdU0n8A/view?usp=drive_link" TargetMode="External"/><Relationship Id="rId33" Type="http://schemas.openxmlformats.org/officeDocument/2006/relationships/hyperlink" Target="https://drive.google.com/file/d/1UvTH2ZW0FHDGH92g-fZZsDBT_ny2Vw2n/view?usp=drive_link" TargetMode="External"/><Relationship Id="rId38" Type="http://schemas.openxmlformats.org/officeDocument/2006/relationships/hyperlink" Target="https://drive.google.com/file/d/1hOZQn2ObmrPyvcak9aHezeANai5btsL-/view?usp=drive_link"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etsystatic.com/38852545/r/il/7b353f/6369296714/il_794xN.6369296714_d8jp.jpg" TargetMode="External"/><Relationship Id="rId21" Type="http://schemas.openxmlformats.org/officeDocument/2006/relationships/hyperlink" Target="https://i.etsystatic.com/38852545/r/il/7b353f/6369296714/il_794xN.6369296714_d8jp.jpg" TargetMode="External"/><Relationship Id="rId42" Type="http://schemas.openxmlformats.org/officeDocument/2006/relationships/hyperlink" Target="https://drive.google.com/file/d/1JVVfz04ieMXZYyKP6ML1xOxNKioyULd4/view?usp=sharing" TargetMode="External"/><Relationship Id="rId47" Type="http://schemas.openxmlformats.org/officeDocument/2006/relationships/hyperlink" Target="https://drive.google.com/file/d/1EJt2P2BBp8j5w4qdohPqyv19RMAwQJWT/view?usp=drive_link" TargetMode="External"/><Relationship Id="rId63" Type="http://schemas.openxmlformats.org/officeDocument/2006/relationships/hyperlink" Target="https://drive.google.com/file/d/15uVdfVe821I4Wp-mNlZkslQyn2Rw08cw/view?usp=drive_link" TargetMode="External"/><Relationship Id="rId68" Type="http://schemas.openxmlformats.org/officeDocument/2006/relationships/hyperlink" Target="https://drive.google.com/file/d/15uVdfVe821I4Wp-mNlZkslQyn2Rw08cw/view?usp=drive_link" TargetMode="External"/><Relationship Id="rId16" Type="http://schemas.openxmlformats.org/officeDocument/2006/relationships/hyperlink" Target="https://i.etsystatic.com/38852545/r/il/7b353f/6369296714/il_794xN.6369296714_d8jp.jpg" TargetMode="External"/><Relationship Id="rId11" Type="http://schemas.openxmlformats.org/officeDocument/2006/relationships/hyperlink" Target="https://drive.google.com/file/d/1gDfznPCbVZaIQVmS-4PFq0bqESK0EXHx/view?usp=drive_link" TargetMode="External"/><Relationship Id="rId24" Type="http://schemas.openxmlformats.org/officeDocument/2006/relationships/hyperlink" Target="https://i.etsystatic.com/38852545/r/il/7b353f/6369296714/il_794xN.6369296714_d8jp.jpg" TargetMode="External"/><Relationship Id="rId32" Type="http://schemas.openxmlformats.org/officeDocument/2006/relationships/hyperlink" Target="https://drive.google.com/file/d/1JVVfz04ieMXZYyKP6ML1xOxNKioyULd4/view?usp=sharing" TargetMode="External"/><Relationship Id="rId37" Type="http://schemas.openxmlformats.org/officeDocument/2006/relationships/hyperlink" Target="https://drive.google.com/file/d/1JVVfz04ieMXZYyKP6ML1xOxNKioyULd4/view?usp=sharing" TargetMode="External"/><Relationship Id="rId40" Type="http://schemas.openxmlformats.org/officeDocument/2006/relationships/hyperlink" Target="https://drive.google.com/file/d/1JVVfz04ieMXZYyKP6ML1xOxNKioyULd4/view?usp=sharing" TargetMode="External"/><Relationship Id="rId45" Type="http://schemas.openxmlformats.org/officeDocument/2006/relationships/hyperlink" Target="https://drive.google.com/file/d/1JVVfz04ieMXZYyKP6ML1xOxNKioyULd4/view?usp=sharing" TargetMode="External"/><Relationship Id="rId53" Type="http://schemas.openxmlformats.org/officeDocument/2006/relationships/hyperlink" Target="https://drive.google.com/file/d/1EJt2P2BBp8j5w4qdohPqyv19RMAwQJWT/view?usp=drive_link" TargetMode="External"/><Relationship Id="rId58" Type="http://schemas.openxmlformats.org/officeDocument/2006/relationships/hyperlink" Target="https://drive.google.com/file/d/1EJt2P2BBp8j5w4qdohPqyv19RMAwQJWT/view?usp=drive_link" TargetMode="External"/><Relationship Id="rId66" Type="http://schemas.openxmlformats.org/officeDocument/2006/relationships/hyperlink" Target="https://drive.google.com/file/d/15uVdfVe821I4Wp-mNlZkslQyn2Rw08cw/view?usp=drive_link" TargetMode="External"/><Relationship Id="rId74" Type="http://schemas.openxmlformats.org/officeDocument/2006/relationships/hyperlink" Target="https://drive.google.com/file/d/15uVdfVe821I4Wp-mNlZkslQyn2Rw08cw/view?usp=drive_link" TargetMode="External"/><Relationship Id="rId5" Type="http://schemas.openxmlformats.org/officeDocument/2006/relationships/hyperlink" Target="https://drive.google.com/file/d/1JVVfz04ieMXZYyKP6ML1xOxNKioyULd4/view?usp=sharing" TargetMode="External"/><Relationship Id="rId61" Type="http://schemas.openxmlformats.org/officeDocument/2006/relationships/hyperlink" Target="https://drive.google.com/file/d/1EJt2P2BBp8j5w4qdohPqyv19RMAwQJWT/view?usp=drive_link" TargetMode="External"/><Relationship Id="rId19" Type="http://schemas.openxmlformats.org/officeDocument/2006/relationships/hyperlink" Target="https://i.etsystatic.com/38852545/r/il/7b353f/6369296714/il_794xN.6369296714_d8jp.jpg" TargetMode="External"/><Relationship Id="rId14" Type="http://schemas.openxmlformats.org/officeDocument/2006/relationships/hyperlink" Target="https://i.etsystatic.com/38852545/r/il/7b353f/6369296714/il_794xN.6369296714_d8jp.jpg" TargetMode="External"/><Relationship Id="rId22" Type="http://schemas.openxmlformats.org/officeDocument/2006/relationships/hyperlink" Target="https://i.etsystatic.com/38852545/r/il/7b353f/6369296714/il_794xN.6369296714_d8jp.jpg" TargetMode="External"/><Relationship Id="rId27" Type="http://schemas.openxmlformats.org/officeDocument/2006/relationships/hyperlink" Target="https://i.etsystatic.com/38852545/r/il/7b353f/6369296714/il_794xN.6369296714_d8jp.jpg" TargetMode="External"/><Relationship Id="rId30" Type="http://schemas.openxmlformats.org/officeDocument/2006/relationships/hyperlink" Target="https://drive.google.com/file/d/1JVVfz04ieMXZYyKP6ML1xOxNKioyULd4/view?usp=sharing" TargetMode="External"/><Relationship Id="rId35" Type="http://schemas.openxmlformats.org/officeDocument/2006/relationships/hyperlink" Target="https://drive.google.com/file/d/1JVVfz04ieMXZYyKP6ML1xOxNKioyULd4/view?usp=sharing" TargetMode="External"/><Relationship Id="rId43" Type="http://schemas.openxmlformats.org/officeDocument/2006/relationships/hyperlink" Target="https://drive.google.com/file/d/1JVVfz04ieMXZYyKP6ML1xOxNKioyULd4/view?usp=sharing" TargetMode="External"/><Relationship Id="rId48" Type="http://schemas.openxmlformats.org/officeDocument/2006/relationships/hyperlink" Target="https://drive.google.com/file/d/1EJt2P2BBp8j5w4qdohPqyv19RMAwQJWT/view?usp=drive_link" TargetMode="External"/><Relationship Id="rId56" Type="http://schemas.openxmlformats.org/officeDocument/2006/relationships/hyperlink" Target="https://drive.google.com/file/d/1EJt2P2BBp8j5w4qdohPqyv19RMAwQJWT/view?usp=drive_link" TargetMode="External"/><Relationship Id="rId64" Type="http://schemas.openxmlformats.org/officeDocument/2006/relationships/hyperlink" Target="https://drive.google.com/file/d/15uVdfVe821I4Wp-mNlZkslQyn2Rw08cw/view?usp=drive_link" TargetMode="External"/><Relationship Id="rId69" Type="http://schemas.openxmlformats.org/officeDocument/2006/relationships/hyperlink" Target="https://drive.google.com/file/d/15uVdfVe821I4Wp-mNlZkslQyn2Rw08cw/view?usp=drive_link" TargetMode="External"/><Relationship Id="rId77" Type="http://schemas.openxmlformats.org/officeDocument/2006/relationships/hyperlink" Target="https://drive.google.com/file/d/15uVdfVe821I4Wp-mNlZkslQyn2Rw08cw/view?usp=drive_link" TargetMode="External"/><Relationship Id="rId8" Type="http://schemas.openxmlformats.org/officeDocument/2006/relationships/hyperlink" Target="https://drive.google.com/file/d/1wXdtHkiJUWY2OK2gSy-hH16pLve00OqD/view?usp=drive_link" TargetMode="External"/><Relationship Id="rId51" Type="http://schemas.openxmlformats.org/officeDocument/2006/relationships/hyperlink" Target="https://drive.google.com/file/d/1EJt2P2BBp8j5w4qdohPqyv19RMAwQJWT/view?usp=drive_link" TargetMode="External"/><Relationship Id="rId72" Type="http://schemas.openxmlformats.org/officeDocument/2006/relationships/hyperlink" Target="https://drive.google.com/file/d/15uVdfVe821I4Wp-mNlZkslQyn2Rw08cw/view?usp=drive_link" TargetMode="External"/><Relationship Id="rId3" Type="http://schemas.openxmlformats.org/officeDocument/2006/relationships/hyperlink" Target="https://drive.google.com/file/d/1EJt2P2BBp8j5w4qdohPqyv19RMAwQJWT/view?usp=drive_link" TargetMode="External"/><Relationship Id="rId12" Type="http://schemas.openxmlformats.org/officeDocument/2006/relationships/hyperlink" Target="https://drive.google.com/file/d/1XZyLoa8QC_7QGT6wy0wwnZdVl6sriXyo/view?usp=drive_link" TargetMode="External"/><Relationship Id="rId17" Type="http://schemas.openxmlformats.org/officeDocument/2006/relationships/hyperlink" Target="https://i.etsystatic.com/38852545/r/il/7b353f/6369296714/il_794xN.6369296714_d8jp.jpg" TargetMode="External"/><Relationship Id="rId25" Type="http://schemas.openxmlformats.org/officeDocument/2006/relationships/hyperlink" Target="https://i.etsystatic.com/38852545/r/il/7b353f/6369296714/il_794xN.6369296714_d8jp.jpg" TargetMode="External"/><Relationship Id="rId33" Type="http://schemas.openxmlformats.org/officeDocument/2006/relationships/hyperlink" Target="https://drive.google.com/file/d/1JVVfz04ieMXZYyKP6ML1xOxNKioyULd4/view?usp=sharing" TargetMode="External"/><Relationship Id="rId38" Type="http://schemas.openxmlformats.org/officeDocument/2006/relationships/hyperlink" Target="https://drive.google.com/file/d/1JVVfz04ieMXZYyKP6ML1xOxNKioyULd4/view?usp=sharing" TargetMode="External"/><Relationship Id="rId46" Type="http://schemas.openxmlformats.org/officeDocument/2006/relationships/hyperlink" Target="https://drive.google.com/file/d/1EJt2P2BBp8j5w4qdohPqyv19RMAwQJWT/view?usp=drive_link" TargetMode="External"/><Relationship Id="rId59" Type="http://schemas.openxmlformats.org/officeDocument/2006/relationships/hyperlink" Target="https://drive.google.com/file/d/1EJt2P2BBp8j5w4qdohPqyv19RMAwQJWT/view?usp=drive_link" TargetMode="External"/><Relationship Id="rId67" Type="http://schemas.openxmlformats.org/officeDocument/2006/relationships/hyperlink" Target="https://drive.google.com/file/d/15uVdfVe821I4Wp-mNlZkslQyn2Rw08cw/view?usp=drive_link" TargetMode="External"/><Relationship Id="rId20" Type="http://schemas.openxmlformats.org/officeDocument/2006/relationships/hyperlink" Target="https://i.etsystatic.com/38852545/r/il/7b353f/6369296714/il_794xN.6369296714_d8jp.jpg" TargetMode="External"/><Relationship Id="rId41" Type="http://schemas.openxmlformats.org/officeDocument/2006/relationships/hyperlink" Target="https://drive.google.com/file/d/1JVVfz04ieMXZYyKP6ML1xOxNKioyULd4/view?usp=sharing" TargetMode="External"/><Relationship Id="rId54" Type="http://schemas.openxmlformats.org/officeDocument/2006/relationships/hyperlink" Target="https://drive.google.com/file/d/1EJt2P2BBp8j5w4qdohPqyv19RMAwQJWT/view?usp=drive_link" TargetMode="External"/><Relationship Id="rId62" Type="http://schemas.openxmlformats.org/officeDocument/2006/relationships/hyperlink" Target="https://drive.google.com/file/d/15uVdfVe821I4Wp-mNlZkslQyn2Rw08cw/view?usp=drive_link" TargetMode="External"/><Relationship Id="rId70" Type="http://schemas.openxmlformats.org/officeDocument/2006/relationships/hyperlink" Target="https://drive.google.com/file/d/15uVdfVe821I4Wp-mNlZkslQyn2Rw08cw/view?usp=drive_link" TargetMode="External"/><Relationship Id="rId75" Type="http://schemas.openxmlformats.org/officeDocument/2006/relationships/hyperlink" Target="https://drive.google.com/file/d/15uVdfVe821I4Wp-mNlZkslQyn2Rw08cw/view?usp=drive_link" TargetMode="External"/><Relationship Id="rId1" Type="http://schemas.openxmlformats.org/officeDocument/2006/relationships/hyperlink" Target="https://i.etsystatic.com/38852545/r/il/7b353f/6369296714/il_794xN.6369296714_d8jp.jpg" TargetMode="External"/><Relationship Id="rId6" Type="http://schemas.openxmlformats.org/officeDocument/2006/relationships/hyperlink" Target="https://drive.google.com/file/d/1bSd22yUUQv7v91dOqIKBVLTpZXpCLBr_/view?usp=drive_link" TargetMode="External"/><Relationship Id="rId15" Type="http://schemas.openxmlformats.org/officeDocument/2006/relationships/hyperlink" Target="https://i.etsystatic.com/38852545/r/il/7b353f/6369296714/il_794xN.6369296714_d8jp.jpg" TargetMode="External"/><Relationship Id="rId23" Type="http://schemas.openxmlformats.org/officeDocument/2006/relationships/hyperlink" Target="https://i.etsystatic.com/38852545/r/il/7b353f/6369296714/il_794xN.6369296714_d8jp.jpg" TargetMode="External"/><Relationship Id="rId28" Type="http://schemas.openxmlformats.org/officeDocument/2006/relationships/hyperlink" Target="https://i.etsystatic.com/38852545/r/il/7b353f/6369296714/il_794xN.6369296714_d8jp.jpg" TargetMode="External"/><Relationship Id="rId36" Type="http://schemas.openxmlformats.org/officeDocument/2006/relationships/hyperlink" Target="https://drive.google.com/file/d/1JVVfz04ieMXZYyKP6ML1xOxNKioyULd4/view?usp=sharing" TargetMode="External"/><Relationship Id="rId49" Type="http://schemas.openxmlformats.org/officeDocument/2006/relationships/hyperlink" Target="https://drive.google.com/file/d/1EJt2P2BBp8j5w4qdohPqyv19RMAwQJWT/view?usp=drive_link" TargetMode="External"/><Relationship Id="rId57" Type="http://schemas.openxmlformats.org/officeDocument/2006/relationships/hyperlink" Target="https://drive.google.com/file/d/1EJt2P2BBp8j5w4qdohPqyv19RMAwQJWT/view?usp=drive_link" TargetMode="External"/><Relationship Id="rId10" Type="http://schemas.openxmlformats.org/officeDocument/2006/relationships/hyperlink" Target="https://drive.google.com/file/d/14nM9llbZiGqhv5YFL6ZRSjOp8cru1iie/view?usp=drive_link" TargetMode="External"/><Relationship Id="rId31" Type="http://schemas.openxmlformats.org/officeDocument/2006/relationships/hyperlink" Target="https://drive.google.com/file/d/1JVVfz04ieMXZYyKP6ML1xOxNKioyULd4/view?usp=sharing" TargetMode="External"/><Relationship Id="rId44" Type="http://schemas.openxmlformats.org/officeDocument/2006/relationships/hyperlink" Target="https://drive.google.com/file/d/1JVVfz04ieMXZYyKP6ML1xOxNKioyULd4/view?usp=sharing" TargetMode="External"/><Relationship Id="rId52" Type="http://schemas.openxmlformats.org/officeDocument/2006/relationships/hyperlink" Target="https://drive.google.com/file/d/1EJt2P2BBp8j5w4qdohPqyv19RMAwQJWT/view?usp=drive_link" TargetMode="External"/><Relationship Id="rId60" Type="http://schemas.openxmlformats.org/officeDocument/2006/relationships/hyperlink" Target="https://drive.google.com/file/d/1EJt2P2BBp8j5w4qdohPqyv19RMAwQJWT/view?usp=drive_link" TargetMode="External"/><Relationship Id="rId65" Type="http://schemas.openxmlformats.org/officeDocument/2006/relationships/hyperlink" Target="https://drive.google.com/file/d/15uVdfVe821I4Wp-mNlZkslQyn2Rw08cw/view?usp=drive_link" TargetMode="External"/><Relationship Id="rId73" Type="http://schemas.openxmlformats.org/officeDocument/2006/relationships/hyperlink" Target="https://drive.google.com/file/d/15uVdfVe821I4Wp-mNlZkslQyn2Rw08cw/view?usp=drive_link" TargetMode="External"/><Relationship Id="rId4" Type="http://schemas.openxmlformats.org/officeDocument/2006/relationships/hyperlink" Target="https://drive.google.com/file/d/15uVdfVe821I4Wp-mNlZkslQyn2Rw08cw/view?usp=drive_link" TargetMode="External"/><Relationship Id="rId9" Type="http://schemas.openxmlformats.org/officeDocument/2006/relationships/hyperlink" Target="https://drive.google.com/file/d/1eYIR7zT5Av7nfLFJTZ1tomEInv3A4srk/view?usp=drive_link" TargetMode="External"/><Relationship Id="rId13" Type="http://schemas.openxmlformats.org/officeDocument/2006/relationships/hyperlink" Target="https://drive.google.com/file/d/1cbav8F7Hc0HFBTJhY1R3dWvLdWL1q2WX/view?usp=drive_link" TargetMode="External"/><Relationship Id="rId18" Type="http://schemas.openxmlformats.org/officeDocument/2006/relationships/hyperlink" Target="https://i.etsystatic.com/38852545/r/il/7b353f/6369296714/il_794xN.6369296714_d8jp.jpg" TargetMode="External"/><Relationship Id="rId39" Type="http://schemas.openxmlformats.org/officeDocument/2006/relationships/hyperlink" Target="https://drive.google.com/file/d/1JVVfz04ieMXZYyKP6ML1xOxNKioyULd4/view?usp=sharing" TargetMode="External"/><Relationship Id="rId34" Type="http://schemas.openxmlformats.org/officeDocument/2006/relationships/hyperlink" Target="https://drive.google.com/file/d/1JVVfz04ieMXZYyKP6ML1xOxNKioyULd4/view?usp=sharing" TargetMode="External"/><Relationship Id="rId50" Type="http://schemas.openxmlformats.org/officeDocument/2006/relationships/hyperlink" Target="https://drive.google.com/file/d/1EJt2P2BBp8j5w4qdohPqyv19RMAwQJWT/view?usp=drive_link" TargetMode="External"/><Relationship Id="rId55" Type="http://schemas.openxmlformats.org/officeDocument/2006/relationships/hyperlink" Target="https://drive.google.com/file/d/1EJt2P2BBp8j5w4qdohPqyv19RMAwQJWT/view?usp=drive_link" TargetMode="External"/><Relationship Id="rId76" Type="http://schemas.openxmlformats.org/officeDocument/2006/relationships/hyperlink" Target="https://drive.google.com/file/d/15uVdfVe821I4Wp-mNlZkslQyn2Rw08cw/view?usp=drive_link" TargetMode="External"/><Relationship Id="rId7" Type="http://schemas.openxmlformats.org/officeDocument/2006/relationships/hyperlink" Target="https://drive.google.com/file/d/1axFEjaEDE8lo6ug1S--Wrcdbycf-ZJfB/view?usp=drive_link" TargetMode="External"/><Relationship Id="rId71" Type="http://schemas.openxmlformats.org/officeDocument/2006/relationships/hyperlink" Target="https://drive.google.com/file/d/15uVdfVe821I4Wp-mNlZkslQyn2Rw08cw/view?usp=drive_link" TargetMode="External"/><Relationship Id="rId2" Type="http://schemas.openxmlformats.org/officeDocument/2006/relationships/hyperlink" Target="https://drive.google.com/file/d/1JVVfz04ieMXZYyKP6ML1xOxNKioyULd4/view?usp=sharing" TargetMode="External"/><Relationship Id="rId29" Type="http://schemas.openxmlformats.org/officeDocument/2006/relationships/hyperlink" Target="https://i.etsystatic.com/38852545/r/il/7b353f/6369296714/il_794xN.6369296714_d8jp.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K997"/>
  <sheetViews>
    <sheetView workbookViewId="0"/>
  </sheetViews>
  <sheetFormatPr defaultColWidth="12.5703125" defaultRowHeight="15.75" customHeight="1"/>
  <cols>
    <col min="4" max="4" width="48" customWidth="1"/>
  </cols>
  <sheetData>
    <row r="1" spans="1:63" ht="15.75" customHeight="1">
      <c r="A1" s="1" t="s">
        <v>0</v>
      </c>
      <c r="B1" s="2" t="s">
        <v>1</v>
      </c>
      <c r="C1" s="2" t="s">
        <v>2</v>
      </c>
      <c r="D1" s="2" t="s">
        <v>3</v>
      </c>
      <c r="E1" s="2" t="s">
        <v>4</v>
      </c>
      <c r="F1" s="2" t="s">
        <v>5</v>
      </c>
      <c r="G1" s="2" t="s">
        <v>6</v>
      </c>
      <c r="H1" s="3" t="s">
        <v>7</v>
      </c>
      <c r="I1" s="3" t="s">
        <v>8</v>
      </c>
      <c r="J1" s="3" t="s">
        <v>9</v>
      </c>
      <c r="K1" s="2" t="s">
        <v>10</v>
      </c>
      <c r="L1" s="2" t="s">
        <v>11</v>
      </c>
      <c r="M1" s="2" t="s">
        <v>12</v>
      </c>
      <c r="N1" s="2" t="s">
        <v>13</v>
      </c>
      <c r="O1" s="2" t="s">
        <v>14</v>
      </c>
      <c r="P1" s="2" t="s">
        <v>15</v>
      </c>
      <c r="Q1" s="2" t="s">
        <v>16</v>
      </c>
      <c r="R1" s="2" t="s">
        <v>17</v>
      </c>
      <c r="S1" s="2" t="s">
        <v>18</v>
      </c>
      <c r="T1" s="2" t="s">
        <v>19</v>
      </c>
      <c r="U1" s="2" t="s">
        <v>20</v>
      </c>
      <c r="V1" s="2" t="s">
        <v>21</v>
      </c>
      <c r="W1" s="2" t="s">
        <v>22</v>
      </c>
      <c r="X1" s="4" t="s">
        <v>23</v>
      </c>
      <c r="Y1" s="4" t="s">
        <v>24</v>
      </c>
      <c r="Z1" s="4" t="s">
        <v>25</v>
      </c>
      <c r="AA1" s="4" t="s">
        <v>26</v>
      </c>
      <c r="AB1" s="5" t="s">
        <v>27</v>
      </c>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c r="BJ1" s="6"/>
      <c r="BK1" s="6"/>
    </row>
    <row r="2" spans="1:63" ht="12.75">
      <c r="A2" s="7" t="s">
        <v>28</v>
      </c>
      <c r="B2" s="8"/>
      <c r="C2" s="8"/>
      <c r="D2" s="9" t="s">
        <v>29</v>
      </c>
      <c r="E2" s="10" t="s">
        <v>30</v>
      </c>
      <c r="F2" s="11"/>
      <c r="G2" s="12" t="s">
        <v>31</v>
      </c>
      <c r="H2" s="10" t="s">
        <v>32</v>
      </c>
      <c r="I2" s="13" t="s">
        <v>33</v>
      </c>
      <c r="J2" s="10" t="s">
        <v>34</v>
      </c>
      <c r="K2" s="14" t="s">
        <v>35</v>
      </c>
      <c r="L2" s="15" t="s">
        <v>36</v>
      </c>
      <c r="M2" s="16">
        <v>1</v>
      </c>
      <c r="N2" s="10" t="s">
        <v>37</v>
      </c>
      <c r="O2" s="10" t="s">
        <v>38</v>
      </c>
      <c r="P2" s="10" t="s">
        <v>39</v>
      </c>
      <c r="Q2" s="10" t="s">
        <v>40</v>
      </c>
      <c r="R2" s="10" t="s">
        <v>41</v>
      </c>
      <c r="S2" s="10" t="s">
        <v>42</v>
      </c>
      <c r="T2" s="11"/>
      <c r="U2" s="11"/>
      <c r="V2" s="10" t="s">
        <v>43</v>
      </c>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row>
    <row r="3" spans="1:63" ht="12.75">
      <c r="A3" s="17"/>
      <c r="B3" s="18" t="s">
        <v>44</v>
      </c>
      <c r="C3" s="19" t="s">
        <v>45</v>
      </c>
      <c r="D3" s="8"/>
      <c r="E3" s="19" t="s">
        <v>45</v>
      </c>
      <c r="F3" s="11"/>
      <c r="G3" s="20" t="s">
        <v>46</v>
      </c>
      <c r="H3" s="10" t="s">
        <v>47</v>
      </c>
      <c r="I3" s="10" t="s">
        <v>48</v>
      </c>
      <c r="J3" s="10" t="s">
        <v>49</v>
      </c>
      <c r="K3" s="14" t="s">
        <v>35</v>
      </c>
      <c r="L3" s="10" t="s">
        <v>50</v>
      </c>
      <c r="M3" s="16">
        <v>1</v>
      </c>
      <c r="N3" s="10" t="s">
        <v>51</v>
      </c>
      <c r="O3" s="10" t="s">
        <v>52</v>
      </c>
      <c r="P3" s="10" t="s">
        <v>53</v>
      </c>
      <c r="Q3" s="10" t="s">
        <v>54</v>
      </c>
      <c r="R3" s="10" t="s">
        <v>55</v>
      </c>
      <c r="S3" s="10" t="s">
        <v>56</v>
      </c>
      <c r="T3" s="11"/>
      <c r="U3" s="11"/>
      <c r="V3" s="10" t="s">
        <v>57</v>
      </c>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row>
    <row r="4" spans="1:63" ht="12.75">
      <c r="A4" s="7" t="s">
        <v>58</v>
      </c>
      <c r="B4" s="18" t="s">
        <v>59</v>
      </c>
      <c r="C4" s="19" t="s">
        <v>60</v>
      </c>
      <c r="D4" s="8"/>
      <c r="E4" s="19" t="s">
        <v>60</v>
      </c>
      <c r="F4" s="11"/>
      <c r="G4" s="21" t="s">
        <v>61</v>
      </c>
      <c r="H4" s="10" t="s">
        <v>62</v>
      </c>
      <c r="I4" s="10" t="s">
        <v>63</v>
      </c>
      <c r="J4" s="10" t="s">
        <v>64</v>
      </c>
      <c r="K4" s="14" t="s">
        <v>35</v>
      </c>
      <c r="L4" s="10" t="s">
        <v>65</v>
      </c>
      <c r="M4" s="16">
        <v>1</v>
      </c>
      <c r="N4" s="10" t="s">
        <v>66</v>
      </c>
      <c r="O4" s="10" t="s">
        <v>67</v>
      </c>
      <c r="P4" s="11"/>
      <c r="Q4" s="10" t="s">
        <v>68</v>
      </c>
      <c r="R4" s="10" t="s">
        <v>69</v>
      </c>
      <c r="S4" s="10" t="s">
        <v>56</v>
      </c>
      <c r="T4" s="11"/>
      <c r="U4" s="11"/>
      <c r="V4" s="10" t="s">
        <v>70</v>
      </c>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c r="BB4" s="11"/>
      <c r="BC4" s="11"/>
      <c r="BD4" s="11"/>
      <c r="BE4" s="11"/>
      <c r="BF4" s="11"/>
      <c r="BG4" s="11"/>
      <c r="BH4" s="11"/>
      <c r="BI4" s="11"/>
      <c r="BJ4" s="11"/>
      <c r="BK4" s="11"/>
    </row>
    <row r="5" spans="1:63" ht="12.75">
      <c r="A5" s="7" t="s">
        <v>58</v>
      </c>
      <c r="B5" s="22" t="s">
        <v>71</v>
      </c>
      <c r="C5" s="19" t="s">
        <v>72</v>
      </c>
      <c r="D5" s="8"/>
      <c r="E5" s="19" t="s">
        <v>72</v>
      </c>
      <c r="F5" s="11"/>
      <c r="G5" s="21" t="s">
        <v>61</v>
      </c>
      <c r="H5" s="10" t="s">
        <v>62</v>
      </c>
      <c r="I5" s="10" t="s">
        <v>73</v>
      </c>
      <c r="J5" s="10" t="s">
        <v>74</v>
      </c>
      <c r="K5" s="14" t="s">
        <v>35</v>
      </c>
      <c r="L5" s="10" t="s">
        <v>65</v>
      </c>
      <c r="M5" s="16">
        <v>1</v>
      </c>
      <c r="N5" s="10" t="s">
        <v>66</v>
      </c>
      <c r="O5" s="10" t="s">
        <v>67</v>
      </c>
      <c r="P5" s="11"/>
      <c r="Q5" s="10" t="s">
        <v>68</v>
      </c>
      <c r="R5" s="10" t="s">
        <v>69</v>
      </c>
      <c r="S5" s="10" t="s">
        <v>56</v>
      </c>
      <c r="T5" s="11"/>
      <c r="U5" s="11"/>
      <c r="V5" s="10" t="s">
        <v>70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c r="BB5" s="11"/>
      <c r="BC5" s="11"/>
      <c r="BD5" s="11"/>
      <c r="BE5" s="11"/>
      <c r="BF5" s="11"/>
      <c r="BG5" s="11"/>
      <c r="BH5" s="11"/>
      <c r="BI5" s="11"/>
      <c r="BJ5" s="11"/>
      <c r="BK5" s="11"/>
    </row>
    <row r="6" spans="1:63" ht="12.75">
      <c r="A6" s="7" t="s">
        <v>58</v>
      </c>
      <c r="B6" s="22" t="s">
        <v>71</v>
      </c>
      <c r="C6" s="19" t="s">
        <v>75</v>
      </c>
      <c r="D6" s="8"/>
      <c r="E6" s="19" t="s">
        <v>75</v>
      </c>
      <c r="F6" s="11"/>
      <c r="G6" s="21" t="s">
        <v>61</v>
      </c>
      <c r="H6" s="10" t="s">
        <v>62</v>
      </c>
      <c r="I6" s="10" t="s">
        <v>76</v>
      </c>
      <c r="J6" s="10" t="s">
        <v>77</v>
      </c>
      <c r="K6" s="14" t="s">
        <v>35</v>
      </c>
      <c r="L6" s="10" t="s">
        <v>65</v>
      </c>
      <c r="M6" s="16">
        <v>1</v>
      </c>
      <c r="N6" s="10" t="s">
        <v>66</v>
      </c>
      <c r="O6" s="10" t="s">
        <v>67</v>
      </c>
      <c r="P6" s="11"/>
      <c r="Q6" s="10" t="s">
        <v>68</v>
      </c>
      <c r="R6" s="10" t="s">
        <v>69</v>
      </c>
      <c r="S6" s="10" t="s">
        <v>56</v>
      </c>
      <c r="T6" s="11"/>
      <c r="U6" s="11"/>
      <c r="V6" s="10" t="s">
        <v>70</v>
      </c>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row>
    <row r="7" spans="1:63" ht="12.75">
      <c r="A7" s="7" t="s">
        <v>58</v>
      </c>
      <c r="B7" s="22" t="s">
        <v>71</v>
      </c>
      <c r="C7" s="19" t="s">
        <v>78</v>
      </c>
      <c r="D7" s="8"/>
      <c r="E7" s="19" t="s">
        <v>78</v>
      </c>
      <c r="F7" s="11"/>
      <c r="G7" s="21" t="s">
        <v>61</v>
      </c>
      <c r="H7" s="10" t="s">
        <v>62</v>
      </c>
      <c r="I7" s="10" t="s">
        <v>79</v>
      </c>
      <c r="J7" s="10" t="s">
        <v>80</v>
      </c>
      <c r="K7" s="14" t="s">
        <v>35</v>
      </c>
      <c r="L7" s="10" t="s">
        <v>65</v>
      </c>
      <c r="M7" s="16">
        <v>1</v>
      </c>
      <c r="N7" s="10" t="s">
        <v>66</v>
      </c>
      <c r="O7" s="10" t="s">
        <v>67</v>
      </c>
      <c r="P7" s="11"/>
      <c r="Q7" s="10" t="s">
        <v>68</v>
      </c>
      <c r="R7" s="10" t="s">
        <v>69</v>
      </c>
      <c r="S7" s="10" t="s">
        <v>56</v>
      </c>
      <c r="T7" s="11"/>
      <c r="U7" s="11"/>
      <c r="V7" s="10" t="s">
        <v>70</v>
      </c>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row>
    <row r="8" spans="1:63" ht="12.75">
      <c r="A8" s="7" t="s">
        <v>58</v>
      </c>
      <c r="B8" s="22" t="s">
        <v>71</v>
      </c>
      <c r="C8" s="19" t="s">
        <v>81</v>
      </c>
      <c r="D8" s="8"/>
      <c r="E8" s="19" t="s">
        <v>81</v>
      </c>
      <c r="F8" s="11"/>
      <c r="G8" s="21" t="s">
        <v>61</v>
      </c>
      <c r="H8" s="10" t="s">
        <v>62</v>
      </c>
      <c r="I8" s="10" t="s">
        <v>82</v>
      </c>
      <c r="J8" s="10" t="s">
        <v>83</v>
      </c>
      <c r="K8" s="14" t="s">
        <v>35</v>
      </c>
      <c r="L8" s="10" t="s">
        <v>65</v>
      </c>
      <c r="M8" s="16">
        <v>1</v>
      </c>
      <c r="N8" s="10" t="s">
        <v>66</v>
      </c>
      <c r="O8" s="10" t="s">
        <v>67</v>
      </c>
      <c r="P8" s="11"/>
      <c r="Q8" s="10" t="s">
        <v>68</v>
      </c>
      <c r="R8" s="10" t="s">
        <v>69</v>
      </c>
      <c r="S8" s="10" t="s">
        <v>56</v>
      </c>
      <c r="T8" s="11"/>
      <c r="U8" s="11"/>
      <c r="V8" s="10" t="s">
        <v>70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row>
    <row r="9" spans="1:63" ht="12.75">
      <c r="A9" s="7" t="s">
        <v>58</v>
      </c>
      <c r="B9" s="22" t="s">
        <v>71</v>
      </c>
      <c r="C9" s="19" t="s">
        <v>84</v>
      </c>
      <c r="D9" s="8"/>
      <c r="E9" s="19" t="s">
        <v>84</v>
      </c>
      <c r="F9" s="11"/>
      <c r="G9" s="21" t="s">
        <v>61</v>
      </c>
      <c r="H9" s="10" t="s">
        <v>62</v>
      </c>
      <c r="I9" s="10" t="s">
        <v>85</v>
      </c>
      <c r="J9" s="10" t="s">
        <v>86</v>
      </c>
      <c r="K9" s="14" t="s">
        <v>35</v>
      </c>
      <c r="L9" s="10" t="s">
        <v>65</v>
      </c>
      <c r="M9" s="16">
        <v>1</v>
      </c>
      <c r="N9" s="10" t="s">
        <v>66</v>
      </c>
      <c r="O9" s="10" t="s">
        <v>67</v>
      </c>
      <c r="P9" s="11"/>
      <c r="Q9" s="10" t="s">
        <v>68</v>
      </c>
      <c r="R9" s="10" t="s">
        <v>69</v>
      </c>
      <c r="S9" s="10" t="s">
        <v>56</v>
      </c>
      <c r="T9" s="11"/>
      <c r="U9" s="11"/>
      <c r="V9" s="10" t="s">
        <v>70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c r="BB9" s="11"/>
      <c r="BC9" s="11"/>
      <c r="BD9" s="11"/>
      <c r="BE9" s="11"/>
      <c r="BF9" s="11"/>
      <c r="BG9" s="11"/>
      <c r="BH9" s="11"/>
      <c r="BI9" s="11"/>
      <c r="BJ9" s="11"/>
      <c r="BK9" s="11"/>
    </row>
    <row r="10" spans="1:63" ht="12.75">
      <c r="A10" s="7" t="s">
        <v>58</v>
      </c>
      <c r="B10" s="22" t="s">
        <v>71</v>
      </c>
      <c r="C10" s="19" t="s">
        <v>87</v>
      </c>
      <c r="D10" s="8"/>
      <c r="E10" s="19" t="s">
        <v>87</v>
      </c>
      <c r="F10" s="11"/>
      <c r="G10" s="21" t="s">
        <v>61</v>
      </c>
      <c r="H10" s="10" t="s">
        <v>62</v>
      </c>
      <c r="I10" s="10" t="s">
        <v>88</v>
      </c>
      <c r="J10" s="10" t="s">
        <v>86</v>
      </c>
      <c r="K10" s="14" t="s">
        <v>35</v>
      </c>
      <c r="L10" s="10" t="s">
        <v>65</v>
      </c>
      <c r="M10" s="16">
        <v>1</v>
      </c>
      <c r="N10" s="10" t="s">
        <v>66</v>
      </c>
      <c r="O10" s="10" t="s">
        <v>67</v>
      </c>
      <c r="P10" s="11"/>
      <c r="Q10" s="10" t="s">
        <v>68</v>
      </c>
      <c r="R10" s="10" t="s">
        <v>69</v>
      </c>
      <c r="S10" s="10" t="s">
        <v>56</v>
      </c>
      <c r="T10" s="11"/>
      <c r="U10" s="11"/>
      <c r="V10" s="10" t="s">
        <v>70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row>
    <row r="11" spans="1:63" ht="12.75">
      <c r="A11" s="7" t="s">
        <v>58</v>
      </c>
      <c r="B11" s="22" t="s">
        <v>71</v>
      </c>
      <c r="C11" s="19" t="s">
        <v>89</v>
      </c>
      <c r="D11" s="8"/>
      <c r="E11" s="19" t="s">
        <v>89</v>
      </c>
      <c r="F11" s="11"/>
      <c r="G11" s="21" t="s">
        <v>61</v>
      </c>
      <c r="H11" s="10" t="s">
        <v>62</v>
      </c>
      <c r="I11" s="10" t="s">
        <v>90</v>
      </c>
      <c r="J11" s="10" t="s">
        <v>86</v>
      </c>
      <c r="K11" s="14" t="s">
        <v>35</v>
      </c>
      <c r="L11" s="10" t="s">
        <v>65</v>
      </c>
      <c r="M11" s="16">
        <v>1</v>
      </c>
      <c r="N11" s="10" t="s">
        <v>66</v>
      </c>
      <c r="O11" s="10" t="s">
        <v>67</v>
      </c>
      <c r="P11" s="11"/>
      <c r="Q11" s="10" t="s">
        <v>68</v>
      </c>
      <c r="R11" s="10" t="s">
        <v>69</v>
      </c>
      <c r="S11" s="10" t="s">
        <v>56</v>
      </c>
      <c r="T11" s="11"/>
      <c r="U11" s="11"/>
      <c r="V11" s="10" t="s">
        <v>70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row>
    <row r="12" spans="1:63" ht="12.75">
      <c r="A12" s="7" t="s">
        <v>91</v>
      </c>
      <c r="B12" s="22" t="s">
        <v>92</v>
      </c>
      <c r="C12" s="23" t="s">
        <v>93</v>
      </c>
      <c r="D12" s="8"/>
      <c r="E12" s="23" t="s">
        <v>93</v>
      </c>
      <c r="F12" s="11"/>
      <c r="G12" s="12" t="s">
        <v>31</v>
      </c>
      <c r="H12" s="10" t="s">
        <v>94</v>
      </c>
      <c r="I12" s="10" t="s">
        <v>95</v>
      </c>
      <c r="J12" s="10" t="s">
        <v>49</v>
      </c>
      <c r="K12" s="14" t="s">
        <v>35</v>
      </c>
      <c r="L12" s="10" t="s">
        <v>96</v>
      </c>
      <c r="M12" s="16">
        <v>1</v>
      </c>
      <c r="N12" s="10" t="s">
        <v>97</v>
      </c>
      <c r="O12" s="10" t="s">
        <v>98</v>
      </c>
      <c r="P12" s="11"/>
      <c r="Q12" s="10" t="s">
        <v>99</v>
      </c>
      <c r="R12" s="10" t="s">
        <v>100</v>
      </c>
      <c r="S12" s="10" t="s">
        <v>56</v>
      </c>
      <c r="T12" s="11"/>
      <c r="U12" s="11"/>
      <c r="V12" s="16">
        <v>70501</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row>
    <row r="13" spans="1:63" ht="12.75">
      <c r="A13" s="7" t="s">
        <v>91</v>
      </c>
      <c r="B13" s="22" t="s">
        <v>92</v>
      </c>
      <c r="C13" s="23" t="s">
        <v>93</v>
      </c>
      <c r="D13" s="8"/>
      <c r="E13" s="23" t="s">
        <v>93</v>
      </c>
      <c r="F13" s="11"/>
      <c r="G13" s="12" t="s">
        <v>31</v>
      </c>
      <c r="H13" s="10" t="s">
        <v>94</v>
      </c>
      <c r="I13" s="10" t="s">
        <v>101</v>
      </c>
      <c r="J13" s="10" t="s">
        <v>102</v>
      </c>
      <c r="K13" s="14" t="s">
        <v>35</v>
      </c>
      <c r="L13" s="10" t="s">
        <v>96</v>
      </c>
      <c r="M13" s="16">
        <v>1</v>
      </c>
      <c r="N13" s="10" t="s">
        <v>97</v>
      </c>
      <c r="O13" s="10" t="s">
        <v>98</v>
      </c>
      <c r="P13" s="11"/>
      <c r="Q13" s="10" t="s">
        <v>99</v>
      </c>
      <c r="R13" s="10" t="s">
        <v>100</v>
      </c>
      <c r="S13" s="10" t="s">
        <v>56</v>
      </c>
      <c r="T13" s="11"/>
      <c r="U13" s="11"/>
      <c r="V13" s="16">
        <v>70501</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row>
    <row r="14" spans="1:63" ht="12.75">
      <c r="A14" s="7" t="s">
        <v>91</v>
      </c>
      <c r="B14" s="22" t="s">
        <v>92</v>
      </c>
      <c r="C14" s="24" t="s">
        <v>93</v>
      </c>
      <c r="D14" s="8"/>
      <c r="E14" s="24" t="s">
        <v>93</v>
      </c>
      <c r="F14" s="11"/>
      <c r="G14" s="12" t="s">
        <v>31</v>
      </c>
      <c r="H14" s="10" t="s">
        <v>94</v>
      </c>
      <c r="I14" s="10" t="s">
        <v>103</v>
      </c>
      <c r="J14" s="10" t="s">
        <v>34</v>
      </c>
      <c r="K14" s="14" t="s">
        <v>35</v>
      </c>
      <c r="L14" s="10" t="s">
        <v>96</v>
      </c>
      <c r="M14" s="16">
        <v>1</v>
      </c>
      <c r="N14" s="10" t="s">
        <v>97</v>
      </c>
      <c r="O14" s="10" t="s">
        <v>98</v>
      </c>
      <c r="P14" s="11"/>
      <c r="Q14" s="10" t="s">
        <v>99</v>
      </c>
      <c r="R14" s="10" t="s">
        <v>100</v>
      </c>
      <c r="S14" s="10" t="s">
        <v>56</v>
      </c>
      <c r="T14" s="11"/>
      <c r="U14" s="11"/>
      <c r="V14" s="16">
        <v>70501</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row>
    <row r="15" spans="1:63" ht="12.75">
      <c r="A15" s="7" t="s">
        <v>91</v>
      </c>
      <c r="B15" s="22" t="s">
        <v>92</v>
      </c>
      <c r="C15" s="24" t="s">
        <v>93</v>
      </c>
      <c r="D15" s="8"/>
      <c r="E15" s="24" t="s">
        <v>93</v>
      </c>
      <c r="F15" s="11"/>
      <c r="G15" s="12" t="s">
        <v>31</v>
      </c>
      <c r="H15" s="10" t="s">
        <v>94</v>
      </c>
      <c r="I15" s="10" t="s">
        <v>104</v>
      </c>
      <c r="J15" s="10" t="s">
        <v>105</v>
      </c>
      <c r="K15" s="14" t="s">
        <v>35</v>
      </c>
      <c r="L15" s="10" t="s">
        <v>96</v>
      </c>
      <c r="M15" s="16">
        <v>1</v>
      </c>
      <c r="N15" s="10" t="s">
        <v>97</v>
      </c>
      <c r="O15" s="10" t="s">
        <v>98</v>
      </c>
      <c r="P15" s="11"/>
      <c r="Q15" s="10" t="s">
        <v>99</v>
      </c>
      <c r="R15" s="10" t="s">
        <v>100</v>
      </c>
      <c r="S15" s="10" t="s">
        <v>56</v>
      </c>
      <c r="T15" s="11"/>
      <c r="U15" s="11"/>
      <c r="V15" s="16">
        <v>70501</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row>
    <row r="16" spans="1:63" ht="12.75">
      <c r="A16" s="11"/>
      <c r="B16" s="18" t="s">
        <v>106</v>
      </c>
      <c r="C16" s="25" t="s">
        <v>107</v>
      </c>
      <c r="D16" s="22" t="s">
        <v>108</v>
      </c>
      <c r="E16" s="25" t="s">
        <v>107</v>
      </c>
      <c r="F16" s="11"/>
      <c r="G16" s="26" t="s">
        <v>109</v>
      </c>
      <c r="H16" s="10" t="s">
        <v>110</v>
      </c>
      <c r="I16" s="10" t="s">
        <v>111</v>
      </c>
      <c r="J16" s="10" t="s">
        <v>102</v>
      </c>
      <c r="K16" s="14" t="s">
        <v>35</v>
      </c>
      <c r="L16" s="10" t="s">
        <v>112</v>
      </c>
      <c r="M16" s="16">
        <v>1</v>
      </c>
      <c r="N16" s="10" t="s">
        <v>113</v>
      </c>
      <c r="O16" s="10" t="s">
        <v>114</v>
      </c>
      <c r="P16" s="10" t="s">
        <v>115</v>
      </c>
      <c r="Q16" s="10" t="s">
        <v>116</v>
      </c>
      <c r="R16" s="10" t="s">
        <v>117</v>
      </c>
      <c r="S16" s="10" t="s">
        <v>56</v>
      </c>
      <c r="T16" s="11"/>
      <c r="U16" s="11"/>
      <c r="V16" s="16">
        <v>62918</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row>
    <row r="17" spans="1:63" ht="12.75">
      <c r="A17" s="11"/>
      <c r="B17" s="27" t="s">
        <v>118</v>
      </c>
      <c r="C17" s="25" t="s">
        <v>119</v>
      </c>
      <c r="D17" s="7" t="s">
        <v>120</v>
      </c>
      <c r="E17" s="25" t="s">
        <v>119</v>
      </c>
      <c r="F17" s="11"/>
      <c r="G17" s="21" t="s">
        <v>61</v>
      </c>
      <c r="H17" s="10" t="s">
        <v>121</v>
      </c>
      <c r="I17" s="10" t="s">
        <v>122</v>
      </c>
      <c r="J17" s="10" t="s">
        <v>77</v>
      </c>
      <c r="K17" s="14" t="s">
        <v>35</v>
      </c>
      <c r="L17" s="28" t="s">
        <v>123</v>
      </c>
      <c r="M17" s="16">
        <v>1</v>
      </c>
      <c r="N17" s="10" t="s">
        <v>124</v>
      </c>
      <c r="O17" s="10" t="s">
        <v>125</v>
      </c>
      <c r="P17" s="11"/>
      <c r="Q17" s="10" t="s">
        <v>126</v>
      </c>
      <c r="R17" s="10" t="s">
        <v>127</v>
      </c>
      <c r="S17" s="10" t="s">
        <v>56</v>
      </c>
      <c r="T17" s="11"/>
      <c r="U17" s="11"/>
      <c r="V17" s="16">
        <v>19015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row>
    <row r="18" spans="1:63" ht="12.75">
      <c r="A18" s="29"/>
      <c r="B18" s="29"/>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row>
    <row r="19" spans="1:63" ht="12.75">
      <c r="A19" s="7" t="s">
        <v>128</v>
      </c>
      <c r="B19" s="11"/>
      <c r="C19" s="25" t="s">
        <v>129</v>
      </c>
      <c r="D19" s="11"/>
      <c r="E19" s="25" t="s">
        <v>129</v>
      </c>
      <c r="F19" s="11"/>
      <c r="G19" s="12" t="s">
        <v>31</v>
      </c>
      <c r="H19" s="10" t="s">
        <v>130</v>
      </c>
      <c r="I19" s="13" t="s">
        <v>131</v>
      </c>
      <c r="J19" s="10" t="s">
        <v>132</v>
      </c>
      <c r="K19" s="14" t="s">
        <v>35</v>
      </c>
      <c r="L19" s="10" t="s">
        <v>133</v>
      </c>
      <c r="M19" s="16">
        <v>1</v>
      </c>
      <c r="N19" s="10" t="s">
        <v>134</v>
      </c>
      <c r="O19" s="25" t="s">
        <v>135</v>
      </c>
      <c r="P19" s="11"/>
      <c r="Q19" s="10" t="s">
        <v>136</v>
      </c>
      <c r="R19" s="10" t="s">
        <v>137</v>
      </c>
      <c r="S19" s="10" t="s">
        <v>56</v>
      </c>
      <c r="T19" s="11"/>
      <c r="U19" s="11"/>
      <c r="V19" s="16">
        <v>39638</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row>
    <row r="20" spans="1:63" ht="12.75">
      <c r="A20" s="7" t="s">
        <v>138</v>
      </c>
      <c r="B20" s="11"/>
      <c r="C20" s="25" t="s">
        <v>139</v>
      </c>
      <c r="D20" s="11"/>
      <c r="E20" s="25" t="s">
        <v>139</v>
      </c>
      <c r="F20" s="11"/>
      <c r="G20" s="21" t="s">
        <v>61</v>
      </c>
      <c r="H20" s="10" t="s">
        <v>62</v>
      </c>
      <c r="I20" s="10" t="s">
        <v>140</v>
      </c>
      <c r="J20" s="10" t="s">
        <v>77</v>
      </c>
      <c r="K20" s="14" t="s">
        <v>35</v>
      </c>
      <c r="L20" s="10" t="s">
        <v>141</v>
      </c>
      <c r="M20" s="16">
        <v>1</v>
      </c>
      <c r="N20" s="10" t="s">
        <v>142</v>
      </c>
      <c r="O20" s="25" t="s">
        <v>143</v>
      </c>
      <c r="P20" s="11"/>
      <c r="Q20" s="10" t="s">
        <v>144</v>
      </c>
      <c r="R20" s="10" t="s">
        <v>145</v>
      </c>
      <c r="S20" s="10" t="s">
        <v>56</v>
      </c>
      <c r="T20" s="11"/>
      <c r="U20" s="11"/>
      <c r="V20" s="16">
        <v>36532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row>
    <row r="21" spans="1:63" ht="12.75">
      <c r="A21" s="7" t="s">
        <v>138</v>
      </c>
      <c r="B21" s="11"/>
      <c r="C21" s="25" t="s">
        <v>146</v>
      </c>
      <c r="D21" s="11"/>
      <c r="E21" s="25" t="s">
        <v>146</v>
      </c>
      <c r="F21" s="11"/>
      <c r="G21" s="21" t="s">
        <v>61</v>
      </c>
      <c r="H21" s="10" t="s">
        <v>62</v>
      </c>
      <c r="I21" s="10" t="s">
        <v>147</v>
      </c>
      <c r="J21" s="10" t="s">
        <v>86</v>
      </c>
      <c r="K21" s="14" t="s">
        <v>35</v>
      </c>
      <c r="L21" s="10" t="s">
        <v>141</v>
      </c>
      <c r="M21" s="16">
        <v>1</v>
      </c>
      <c r="N21" s="10" t="s">
        <v>142</v>
      </c>
      <c r="O21" s="25" t="s">
        <v>143</v>
      </c>
      <c r="P21" s="11"/>
      <c r="Q21" s="10" t="s">
        <v>144</v>
      </c>
      <c r="R21" s="10" t="s">
        <v>145</v>
      </c>
      <c r="S21" s="10" t="s">
        <v>56</v>
      </c>
      <c r="T21" s="11"/>
      <c r="U21" s="11"/>
      <c r="V21" s="16">
        <v>36532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row>
    <row r="22" spans="1:63" ht="12.75">
      <c r="A22" s="7" t="s">
        <v>138</v>
      </c>
      <c r="B22" s="11"/>
      <c r="C22" s="25" t="s">
        <v>148</v>
      </c>
      <c r="D22" s="11"/>
      <c r="E22" s="25" t="s">
        <v>148</v>
      </c>
      <c r="F22" s="11"/>
      <c r="G22" s="21" t="s">
        <v>61</v>
      </c>
      <c r="H22" s="10" t="s">
        <v>62</v>
      </c>
      <c r="I22" s="10" t="s">
        <v>149</v>
      </c>
      <c r="J22" s="10" t="s">
        <v>86</v>
      </c>
      <c r="K22" s="14" t="s">
        <v>35</v>
      </c>
      <c r="L22" s="10" t="s">
        <v>141</v>
      </c>
      <c r="M22" s="16">
        <v>1</v>
      </c>
      <c r="N22" s="10" t="s">
        <v>142</v>
      </c>
      <c r="O22" s="25" t="s">
        <v>143</v>
      </c>
      <c r="P22" s="11"/>
      <c r="Q22" s="10" t="s">
        <v>144</v>
      </c>
      <c r="R22" s="10" t="s">
        <v>145</v>
      </c>
      <c r="S22" s="10" t="s">
        <v>56</v>
      </c>
      <c r="T22" s="11"/>
      <c r="U22" s="11"/>
      <c r="V22" s="16">
        <v>36532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row>
    <row r="23" spans="1:63" ht="12.75">
      <c r="A23" s="11"/>
      <c r="B23" s="10" t="s">
        <v>150</v>
      </c>
      <c r="C23" s="25" t="s">
        <v>151</v>
      </c>
      <c r="D23" s="11"/>
      <c r="E23" s="25" t="s">
        <v>151</v>
      </c>
      <c r="F23" s="11"/>
      <c r="G23" s="20" t="s">
        <v>46</v>
      </c>
      <c r="H23" s="10" t="s">
        <v>47</v>
      </c>
      <c r="I23" s="10" t="s">
        <v>152</v>
      </c>
      <c r="J23" s="10" t="s">
        <v>34</v>
      </c>
      <c r="K23" s="14" t="s">
        <v>35</v>
      </c>
      <c r="L23" s="10" t="s">
        <v>153</v>
      </c>
      <c r="M23" s="16">
        <v>1</v>
      </c>
      <c r="N23" s="10" t="s">
        <v>154</v>
      </c>
      <c r="O23" s="10" t="s">
        <v>155</v>
      </c>
      <c r="P23" s="10" t="s">
        <v>156</v>
      </c>
      <c r="Q23" s="10" t="s">
        <v>157</v>
      </c>
      <c r="R23" s="10" t="s">
        <v>158</v>
      </c>
      <c r="S23" s="10" t="s">
        <v>56</v>
      </c>
      <c r="T23" s="11"/>
      <c r="U23" s="11"/>
      <c r="V23" s="16">
        <v>92549</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row>
    <row r="24" spans="1:63" ht="12.75">
      <c r="A24" s="7" t="s">
        <v>159</v>
      </c>
      <c r="B24" s="11"/>
      <c r="C24" s="25" t="s">
        <v>160</v>
      </c>
      <c r="D24" s="11"/>
      <c r="E24" s="25" t="s">
        <v>160</v>
      </c>
      <c r="F24" s="11"/>
      <c r="G24" s="30" t="s">
        <v>161</v>
      </c>
      <c r="H24" s="10" t="s">
        <v>162</v>
      </c>
      <c r="I24" s="10" t="s">
        <v>163</v>
      </c>
      <c r="J24" s="10" t="s">
        <v>102</v>
      </c>
      <c r="K24" s="14" t="s">
        <v>35</v>
      </c>
      <c r="L24" s="10" t="s">
        <v>164</v>
      </c>
      <c r="M24" s="16">
        <v>1</v>
      </c>
      <c r="N24" s="10" t="s">
        <v>165</v>
      </c>
      <c r="O24" s="10" t="s">
        <v>166</v>
      </c>
      <c r="P24" s="11"/>
      <c r="Q24" s="10" t="s">
        <v>167</v>
      </c>
      <c r="R24" s="10" t="s">
        <v>168</v>
      </c>
      <c r="S24" s="10" t="s">
        <v>56</v>
      </c>
      <c r="T24" s="11"/>
      <c r="U24" s="11"/>
      <c r="V24" s="16">
        <v>46385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row>
    <row r="25" spans="1:63" ht="12.75">
      <c r="A25" s="7" t="s">
        <v>159</v>
      </c>
      <c r="B25" s="11"/>
      <c r="C25" s="25" t="s">
        <v>169</v>
      </c>
      <c r="D25" s="11"/>
      <c r="E25" s="25" t="s">
        <v>169</v>
      </c>
      <c r="F25" s="11"/>
      <c r="G25" s="30" t="s">
        <v>161</v>
      </c>
      <c r="H25" s="10" t="s">
        <v>162</v>
      </c>
      <c r="I25" s="10" t="s">
        <v>170</v>
      </c>
      <c r="J25" s="10" t="s">
        <v>132</v>
      </c>
      <c r="K25" s="14" t="s">
        <v>35</v>
      </c>
      <c r="L25" s="10" t="s">
        <v>164</v>
      </c>
      <c r="M25" s="16">
        <v>1</v>
      </c>
      <c r="N25" s="10" t="s">
        <v>165</v>
      </c>
      <c r="O25" s="10" t="s">
        <v>166</v>
      </c>
      <c r="P25" s="11"/>
      <c r="Q25" s="10" t="s">
        <v>167</v>
      </c>
      <c r="R25" s="10" t="s">
        <v>168</v>
      </c>
      <c r="S25" s="10" t="s">
        <v>56</v>
      </c>
      <c r="T25" s="11"/>
      <c r="U25" s="11"/>
      <c r="V25" s="16">
        <v>46385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row>
    <row r="26" spans="1:63" ht="12.75">
      <c r="A26" s="7" t="s">
        <v>159</v>
      </c>
      <c r="B26" s="11"/>
      <c r="C26" s="25" t="s">
        <v>171</v>
      </c>
      <c r="D26" s="11"/>
      <c r="E26" s="25" t="s">
        <v>171</v>
      </c>
      <c r="F26" s="11"/>
      <c r="G26" s="30" t="s">
        <v>161</v>
      </c>
      <c r="H26" s="10" t="s">
        <v>162</v>
      </c>
      <c r="I26" s="10" t="s">
        <v>172</v>
      </c>
      <c r="J26" s="10" t="s">
        <v>105</v>
      </c>
      <c r="K26" s="14" t="s">
        <v>35</v>
      </c>
      <c r="L26" s="10" t="s">
        <v>164</v>
      </c>
      <c r="M26" s="16">
        <v>1</v>
      </c>
      <c r="N26" s="10" t="s">
        <v>165</v>
      </c>
      <c r="O26" s="10" t="s">
        <v>166</v>
      </c>
      <c r="P26" s="11"/>
      <c r="Q26" s="10" t="s">
        <v>167</v>
      </c>
      <c r="R26" s="10" t="s">
        <v>168</v>
      </c>
      <c r="S26" s="10" t="s">
        <v>56</v>
      </c>
      <c r="T26" s="11"/>
      <c r="U26" s="11"/>
      <c r="V26" s="16">
        <v>46385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row>
    <row r="27" spans="1:63" ht="12.75">
      <c r="A27" s="7" t="s">
        <v>159</v>
      </c>
      <c r="B27" s="11"/>
      <c r="C27" s="25" t="s">
        <v>173</v>
      </c>
      <c r="D27" s="11"/>
      <c r="E27" s="25" t="s">
        <v>173</v>
      </c>
      <c r="F27" s="11"/>
      <c r="G27" s="30" t="s">
        <v>161</v>
      </c>
      <c r="H27" s="10" t="s">
        <v>162</v>
      </c>
      <c r="I27" s="10" t="s">
        <v>174</v>
      </c>
      <c r="J27" s="10" t="s">
        <v>175</v>
      </c>
      <c r="K27" s="14" t="s">
        <v>35</v>
      </c>
      <c r="L27" s="10" t="s">
        <v>164</v>
      </c>
      <c r="M27" s="16">
        <v>1</v>
      </c>
      <c r="N27" s="10" t="s">
        <v>165</v>
      </c>
      <c r="O27" s="10" t="s">
        <v>166</v>
      </c>
      <c r="P27" s="11"/>
      <c r="Q27" s="10" t="s">
        <v>167</v>
      </c>
      <c r="R27" s="10" t="s">
        <v>168</v>
      </c>
      <c r="S27" s="10" t="s">
        <v>56</v>
      </c>
      <c r="T27" s="11"/>
      <c r="U27" s="11"/>
      <c r="V27" s="16">
        <v>46385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row>
    <row r="28" spans="1:63" ht="12.75">
      <c r="A28" s="7" t="s">
        <v>176</v>
      </c>
      <c r="B28" s="11"/>
      <c r="C28" s="25" t="s">
        <v>177</v>
      </c>
      <c r="D28" s="10" t="s">
        <v>178</v>
      </c>
      <c r="E28" s="25" t="s">
        <v>177</v>
      </c>
      <c r="F28" s="11"/>
      <c r="G28" s="12" t="s">
        <v>31</v>
      </c>
      <c r="H28" s="10" t="s">
        <v>179</v>
      </c>
      <c r="I28" s="31" t="s">
        <v>180</v>
      </c>
      <c r="J28" s="10" t="s">
        <v>105</v>
      </c>
      <c r="K28" s="14" t="s">
        <v>35</v>
      </c>
      <c r="L28" s="32" t="s">
        <v>181</v>
      </c>
      <c r="M28" s="16">
        <v>1</v>
      </c>
      <c r="N28" s="10" t="s">
        <v>182</v>
      </c>
      <c r="O28" s="25" t="s">
        <v>183</v>
      </c>
      <c r="P28" s="11"/>
      <c r="Q28" s="10" t="s">
        <v>184</v>
      </c>
      <c r="R28" s="10" t="s">
        <v>127</v>
      </c>
      <c r="S28" s="10" t="s">
        <v>56</v>
      </c>
      <c r="T28" s="11"/>
      <c r="U28" s="11"/>
      <c r="V28" s="10" t="s">
        <v>185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row>
    <row r="29" spans="1:63" ht="12.75">
      <c r="A29" s="7" t="s">
        <v>186</v>
      </c>
      <c r="B29" s="11"/>
      <c r="C29" s="25" t="s">
        <v>187</v>
      </c>
      <c r="D29" s="10" t="s">
        <v>178</v>
      </c>
      <c r="E29" s="25" t="s">
        <v>187</v>
      </c>
      <c r="F29" s="11"/>
      <c r="G29" s="12" t="s">
        <v>31</v>
      </c>
      <c r="H29" s="10" t="s">
        <v>188</v>
      </c>
      <c r="I29" s="33" t="s">
        <v>189</v>
      </c>
      <c r="J29" s="10" t="s">
        <v>105</v>
      </c>
      <c r="K29" s="14" t="s">
        <v>35</v>
      </c>
      <c r="L29" s="32" t="s">
        <v>181</v>
      </c>
      <c r="M29" s="16">
        <v>1</v>
      </c>
      <c r="N29" s="10" t="s">
        <v>182</v>
      </c>
      <c r="O29" s="25" t="s">
        <v>183</v>
      </c>
      <c r="P29" s="11"/>
      <c r="Q29" s="10" t="s">
        <v>184</v>
      </c>
      <c r="R29" s="10" t="s">
        <v>127</v>
      </c>
      <c r="S29" s="10" t="s">
        <v>56</v>
      </c>
      <c r="T29" s="11"/>
      <c r="U29" s="11"/>
      <c r="V29" s="10" t="s">
        <v>185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row>
    <row r="30" spans="1:63" ht="12.75">
      <c r="A30" s="7" t="s">
        <v>190</v>
      </c>
      <c r="B30" s="11"/>
      <c r="C30" s="25" t="s">
        <v>191</v>
      </c>
      <c r="D30" s="10" t="s">
        <v>178</v>
      </c>
      <c r="E30" s="25" t="s">
        <v>191</v>
      </c>
      <c r="F30" s="11"/>
      <c r="G30" s="12" t="s">
        <v>109</v>
      </c>
      <c r="H30" s="10" t="s">
        <v>192</v>
      </c>
      <c r="I30" s="13" t="s">
        <v>193</v>
      </c>
      <c r="J30" s="10" t="s">
        <v>105</v>
      </c>
      <c r="K30" s="14" t="s">
        <v>35</v>
      </c>
      <c r="L30" s="32" t="s">
        <v>181</v>
      </c>
      <c r="M30" s="16">
        <v>1</v>
      </c>
      <c r="N30" s="10" t="s">
        <v>182</v>
      </c>
      <c r="O30" s="25" t="s">
        <v>183</v>
      </c>
      <c r="P30" s="11"/>
      <c r="Q30" s="10" t="s">
        <v>184</v>
      </c>
      <c r="R30" s="10" t="s">
        <v>127</v>
      </c>
      <c r="S30" s="10" t="s">
        <v>56</v>
      </c>
      <c r="T30" s="11"/>
      <c r="U30" s="11"/>
      <c r="V30" s="10" t="s">
        <v>185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row>
    <row r="31" spans="1:63" ht="12.75">
      <c r="A31" s="7" t="s">
        <v>194</v>
      </c>
      <c r="B31" s="11"/>
      <c r="C31" s="25" t="s">
        <v>195</v>
      </c>
      <c r="D31" s="10" t="s">
        <v>178</v>
      </c>
      <c r="E31" s="25" t="s">
        <v>195</v>
      </c>
      <c r="F31" s="11"/>
      <c r="G31" s="12" t="s">
        <v>109</v>
      </c>
      <c r="H31" s="10" t="s">
        <v>196</v>
      </c>
      <c r="I31" s="13" t="s">
        <v>197</v>
      </c>
      <c r="J31" s="10" t="s">
        <v>105</v>
      </c>
      <c r="K31" s="14" t="s">
        <v>35</v>
      </c>
      <c r="L31" s="32" t="s">
        <v>181</v>
      </c>
      <c r="M31" s="16">
        <v>1</v>
      </c>
      <c r="N31" s="10" t="s">
        <v>182</v>
      </c>
      <c r="O31" s="25" t="s">
        <v>183</v>
      </c>
      <c r="P31" s="11"/>
      <c r="Q31" s="10" t="s">
        <v>184</v>
      </c>
      <c r="R31" s="10" t="s">
        <v>127</v>
      </c>
      <c r="S31" s="10" t="s">
        <v>56</v>
      </c>
      <c r="T31" s="11"/>
      <c r="U31" s="11"/>
      <c r="V31" s="10" t="s">
        <v>185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row>
    <row r="32" spans="1:63" ht="12.75">
      <c r="A32" s="7" t="s">
        <v>198</v>
      </c>
      <c r="B32" s="11"/>
      <c r="C32" s="25" t="s">
        <v>199</v>
      </c>
      <c r="D32" s="10" t="s">
        <v>178</v>
      </c>
      <c r="E32" s="25" t="s">
        <v>199</v>
      </c>
      <c r="F32" s="11"/>
      <c r="G32" s="20" t="s">
        <v>46</v>
      </c>
      <c r="H32" s="10" t="s">
        <v>200</v>
      </c>
      <c r="I32" s="31" t="s">
        <v>201</v>
      </c>
      <c r="J32" s="10" t="s">
        <v>105</v>
      </c>
      <c r="K32" s="14" t="s">
        <v>35</v>
      </c>
      <c r="L32" s="32" t="s">
        <v>181</v>
      </c>
      <c r="M32" s="16">
        <v>1</v>
      </c>
      <c r="N32" s="10" t="s">
        <v>182</v>
      </c>
      <c r="O32" s="25" t="s">
        <v>183</v>
      </c>
      <c r="P32" s="11"/>
      <c r="Q32" s="10" t="s">
        <v>184</v>
      </c>
      <c r="R32" s="10" t="s">
        <v>127</v>
      </c>
      <c r="S32" s="10" t="s">
        <v>56</v>
      </c>
      <c r="T32" s="11"/>
      <c r="U32" s="11"/>
      <c r="V32" s="10" t="s">
        <v>185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row>
    <row r="33" spans="1:63" ht="12.75">
      <c r="A33" s="7" t="s">
        <v>202</v>
      </c>
      <c r="B33" s="11"/>
      <c r="C33" s="25" t="s">
        <v>203</v>
      </c>
      <c r="D33" s="11"/>
      <c r="E33" s="25" t="s">
        <v>203</v>
      </c>
      <c r="F33" s="11"/>
      <c r="G33" s="12" t="s">
        <v>109</v>
      </c>
      <c r="H33" s="10" t="s">
        <v>204</v>
      </c>
      <c r="I33" s="13" t="s">
        <v>205</v>
      </c>
      <c r="J33" s="10" t="s">
        <v>132</v>
      </c>
      <c r="K33" s="14" t="s">
        <v>35</v>
      </c>
      <c r="L33" s="10" t="s">
        <v>206</v>
      </c>
      <c r="M33" s="16">
        <v>1</v>
      </c>
      <c r="N33" s="10" t="s">
        <v>207</v>
      </c>
      <c r="O33" s="25" t="s">
        <v>208</v>
      </c>
      <c r="P33" s="11"/>
      <c r="Q33" s="10" t="s">
        <v>209</v>
      </c>
      <c r="R33" s="10" t="s">
        <v>210</v>
      </c>
      <c r="S33" s="10" t="s">
        <v>56</v>
      </c>
      <c r="T33" s="11"/>
      <c r="U33" s="11"/>
      <c r="V33" s="16">
        <v>50317</v>
      </c>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row>
    <row r="34" spans="1:63" ht="12.75">
      <c r="A34" s="7" t="s">
        <v>202</v>
      </c>
      <c r="B34" s="11"/>
      <c r="C34" s="25" t="s">
        <v>211</v>
      </c>
      <c r="D34" s="11"/>
      <c r="E34" s="25" t="s">
        <v>211</v>
      </c>
      <c r="F34" s="11"/>
      <c r="G34" s="12" t="s">
        <v>109</v>
      </c>
      <c r="H34" s="10" t="s">
        <v>204</v>
      </c>
      <c r="I34" s="13" t="s">
        <v>212</v>
      </c>
      <c r="J34" s="10" t="s">
        <v>132</v>
      </c>
      <c r="K34" s="14" t="s">
        <v>35</v>
      </c>
      <c r="L34" s="10" t="s">
        <v>206</v>
      </c>
      <c r="M34" s="16">
        <v>1</v>
      </c>
      <c r="N34" s="10" t="s">
        <v>207</v>
      </c>
      <c r="O34" s="25" t="s">
        <v>208</v>
      </c>
      <c r="P34" s="11"/>
      <c r="Q34" s="10" t="s">
        <v>209</v>
      </c>
      <c r="R34" s="10" t="s">
        <v>210</v>
      </c>
      <c r="S34" s="10" t="s">
        <v>56</v>
      </c>
      <c r="T34" s="11"/>
      <c r="U34" s="11"/>
      <c r="V34" s="16">
        <v>50317</v>
      </c>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row>
    <row r="35" spans="1:63" ht="12.75">
      <c r="A35" s="7" t="s">
        <v>138</v>
      </c>
      <c r="B35" s="11"/>
      <c r="C35" s="25" t="s">
        <v>213</v>
      </c>
      <c r="D35" s="11"/>
      <c r="E35" s="25" t="s">
        <v>213</v>
      </c>
      <c r="F35" s="11"/>
      <c r="G35" s="34" t="s">
        <v>214</v>
      </c>
      <c r="H35" s="10" t="s">
        <v>62</v>
      </c>
      <c r="I35" s="10" t="s">
        <v>215</v>
      </c>
      <c r="J35" s="10" t="s">
        <v>49</v>
      </c>
      <c r="K35" s="14" t="s">
        <v>35</v>
      </c>
      <c r="L35" s="10" t="s">
        <v>216</v>
      </c>
      <c r="M35" s="16">
        <v>1</v>
      </c>
      <c r="N35" s="10" t="s">
        <v>217</v>
      </c>
      <c r="O35" s="10" t="s">
        <v>218</v>
      </c>
      <c r="P35" s="11"/>
      <c r="Q35" s="10" t="s">
        <v>219</v>
      </c>
      <c r="R35" s="10" t="s">
        <v>220</v>
      </c>
      <c r="S35" s="10" t="s">
        <v>56</v>
      </c>
      <c r="T35" s="11"/>
      <c r="U35" s="11"/>
      <c r="V35" s="16">
        <v>6078</v>
      </c>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row>
    <row r="36" spans="1:63" ht="12.75">
      <c r="A36" s="7" t="s">
        <v>138</v>
      </c>
      <c r="B36" s="11"/>
      <c r="C36" s="25" t="s">
        <v>221</v>
      </c>
      <c r="D36" s="11"/>
      <c r="E36" s="25" t="s">
        <v>221</v>
      </c>
      <c r="F36" s="11"/>
      <c r="G36" s="34" t="s">
        <v>214</v>
      </c>
      <c r="H36" s="10" t="s">
        <v>62</v>
      </c>
      <c r="I36" s="10" t="s">
        <v>222</v>
      </c>
      <c r="J36" s="10" t="s">
        <v>105</v>
      </c>
      <c r="K36" s="14" t="s">
        <v>35</v>
      </c>
      <c r="L36" s="10" t="s">
        <v>216</v>
      </c>
      <c r="M36" s="16">
        <v>1</v>
      </c>
      <c r="N36" s="10" t="s">
        <v>217</v>
      </c>
      <c r="O36" s="10" t="s">
        <v>218</v>
      </c>
      <c r="P36" s="11"/>
      <c r="Q36" s="10" t="s">
        <v>219</v>
      </c>
      <c r="R36" s="10" t="s">
        <v>220</v>
      </c>
      <c r="S36" s="10" t="s">
        <v>56</v>
      </c>
      <c r="T36" s="11"/>
      <c r="U36" s="11"/>
      <c r="V36" s="16">
        <v>6078</v>
      </c>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row>
    <row r="37" spans="1:63" ht="12.75">
      <c r="A37" s="7" t="s">
        <v>223</v>
      </c>
      <c r="B37" s="11"/>
      <c r="C37" s="25" t="s">
        <v>224</v>
      </c>
      <c r="D37" s="11"/>
      <c r="E37" s="25" t="s">
        <v>224</v>
      </c>
      <c r="F37" s="11"/>
      <c r="G37" s="34" t="s">
        <v>214</v>
      </c>
      <c r="H37" s="10" t="s">
        <v>62</v>
      </c>
      <c r="I37" s="10" t="s">
        <v>225</v>
      </c>
      <c r="J37" s="10" t="s">
        <v>102</v>
      </c>
      <c r="K37" s="14" t="s">
        <v>35</v>
      </c>
      <c r="L37" s="10" t="s">
        <v>216</v>
      </c>
      <c r="M37" s="16">
        <v>1</v>
      </c>
      <c r="N37" s="10" t="s">
        <v>217</v>
      </c>
      <c r="O37" s="10" t="s">
        <v>218</v>
      </c>
      <c r="P37" s="11"/>
      <c r="Q37" s="10" t="s">
        <v>219</v>
      </c>
      <c r="R37" s="10" t="s">
        <v>220</v>
      </c>
      <c r="S37" s="10" t="s">
        <v>56</v>
      </c>
      <c r="T37" s="11"/>
      <c r="U37" s="11"/>
      <c r="V37" s="16">
        <v>6078</v>
      </c>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row>
    <row r="38" spans="1:63" ht="12.75">
      <c r="A38" s="7" t="s">
        <v>138</v>
      </c>
      <c r="B38" s="11"/>
      <c r="C38" s="25" t="s">
        <v>226</v>
      </c>
      <c r="D38" s="11"/>
      <c r="E38" s="25" t="s">
        <v>226</v>
      </c>
      <c r="F38" s="11"/>
      <c r="G38" s="34" t="s">
        <v>214</v>
      </c>
      <c r="H38" s="10" t="s">
        <v>62</v>
      </c>
      <c r="I38" s="10" t="s">
        <v>227</v>
      </c>
      <c r="J38" s="10" t="s">
        <v>102</v>
      </c>
      <c r="K38" s="14" t="s">
        <v>35</v>
      </c>
      <c r="L38" s="10" t="s">
        <v>216</v>
      </c>
      <c r="M38" s="16">
        <v>1</v>
      </c>
      <c r="N38" s="10" t="s">
        <v>217</v>
      </c>
      <c r="O38" s="10" t="s">
        <v>218</v>
      </c>
      <c r="P38" s="11"/>
      <c r="Q38" s="10" t="s">
        <v>219</v>
      </c>
      <c r="R38" s="10" t="s">
        <v>220</v>
      </c>
      <c r="S38" s="10" t="s">
        <v>56</v>
      </c>
      <c r="T38" s="11"/>
      <c r="U38" s="11"/>
      <c r="V38" s="16">
        <v>6078</v>
      </c>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row>
    <row r="39" spans="1:63" ht="12.75">
      <c r="A39" s="7" t="s">
        <v>138</v>
      </c>
      <c r="B39" s="11"/>
      <c r="C39" s="25" t="s">
        <v>228</v>
      </c>
      <c r="D39" s="11"/>
      <c r="E39" s="25" t="s">
        <v>228</v>
      </c>
      <c r="F39" s="11"/>
      <c r="G39" s="34" t="s">
        <v>214</v>
      </c>
      <c r="H39" s="10" t="s">
        <v>62</v>
      </c>
      <c r="I39" s="10" t="s">
        <v>229</v>
      </c>
      <c r="J39" s="10" t="s">
        <v>105</v>
      </c>
      <c r="K39" s="14" t="s">
        <v>35</v>
      </c>
      <c r="L39" s="10" t="s">
        <v>216</v>
      </c>
      <c r="M39" s="16">
        <v>1</v>
      </c>
      <c r="N39" s="10" t="s">
        <v>217</v>
      </c>
      <c r="O39" s="10" t="s">
        <v>218</v>
      </c>
      <c r="P39" s="11"/>
      <c r="Q39" s="10" t="s">
        <v>219</v>
      </c>
      <c r="R39" s="10" t="s">
        <v>220</v>
      </c>
      <c r="S39" s="10" t="s">
        <v>56</v>
      </c>
      <c r="T39" s="11"/>
      <c r="U39" s="11"/>
      <c r="V39" s="16">
        <v>6078</v>
      </c>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row>
    <row r="40" spans="1:63" ht="12.75">
      <c r="A40" s="7" t="s">
        <v>230</v>
      </c>
      <c r="B40" s="11"/>
      <c r="C40" s="25" t="s">
        <v>231</v>
      </c>
      <c r="D40" s="11"/>
      <c r="E40" s="25" t="s">
        <v>231</v>
      </c>
      <c r="F40" s="11"/>
      <c r="G40" s="35" t="s">
        <v>232</v>
      </c>
      <c r="H40" s="10" t="s">
        <v>233</v>
      </c>
      <c r="I40" s="10" t="s">
        <v>234</v>
      </c>
      <c r="J40" s="10" t="s">
        <v>235</v>
      </c>
      <c r="K40" s="14" t="s">
        <v>35</v>
      </c>
      <c r="L40" s="10" t="s">
        <v>236</v>
      </c>
      <c r="M40" s="16">
        <v>1</v>
      </c>
      <c r="N40" s="10" t="s">
        <v>237</v>
      </c>
      <c r="O40" s="25" t="s">
        <v>238</v>
      </c>
      <c r="P40" s="11"/>
      <c r="Q40" s="10" t="s">
        <v>239</v>
      </c>
      <c r="R40" s="10" t="s">
        <v>240</v>
      </c>
      <c r="S40" s="10" t="s">
        <v>56</v>
      </c>
      <c r="T40" s="11"/>
      <c r="U40" s="11"/>
      <c r="V40" s="10" t="s">
        <v>241</v>
      </c>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row>
    <row r="41" spans="1:63" ht="12.75">
      <c r="A41" s="7" t="s">
        <v>242</v>
      </c>
      <c r="B41" s="11"/>
      <c r="C41" s="25" t="s">
        <v>243</v>
      </c>
      <c r="D41" s="11"/>
      <c r="E41" s="25" t="s">
        <v>243</v>
      </c>
      <c r="F41" s="11"/>
      <c r="G41" s="20" t="s">
        <v>46</v>
      </c>
      <c r="H41" s="10" t="s">
        <v>244</v>
      </c>
      <c r="I41" s="10" t="s">
        <v>245</v>
      </c>
      <c r="J41" s="10" t="s">
        <v>102</v>
      </c>
      <c r="K41" s="14" t="s">
        <v>35</v>
      </c>
      <c r="L41" s="10" t="s">
        <v>246</v>
      </c>
      <c r="M41" s="16">
        <v>1</v>
      </c>
      <c r="N41" s="10" t="s">
        <v>247</v>
      </c>
      <c r="O41" s="10" t="s">
        <v>248</v>
      </c>
      <c r="P41" s="10" t="s">
        <v>249</v>
      </c>
      <c r="Q41" s="10" t="s">
        <v>250</v>
      </c>
      <c r="R41" s="10" t="s">
        <v>251</v>
      </c>
      <c r="S41" s="10" t="s">
        <v>251</v>
      </c>
      <c r="T41" s="11"/>
      <c r="U41" s="11"/>
      <c r="V41" s="16">
        <v>7647006</v>
      </c>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row>
    <row r="42" spans="1:63" ht="12.75">
      <c r="A42" s="36" t="s">
        <v>252</v>
      </c>
      <c r="B42" s="6"/>
      <c r="C42" s="37" t="s">
        <v>253</v>
      </c>
      <c r="D42" s="6"/>
      <c r="E42" s="37" t="s">
        <v>253</v>
      </c>
      <c r="F42" s="6"/>
      <c r="G42" s="12" t="s">
        <v>109</v>
      </c>
      <c r="H42" s="5" t="s">
        <v>94</v>
      </c>
      <c r="I42" s="5" t="s">
        <v>254</v>
      </c>
      <c r="J42" s="10" t="s">
        <v>49</v>
      </c>
      <c r="K42" s="14" t="s">
        <v>35</v>
      </c>
      <c r="L42" s="10" t="s">
        <v>255</v>
      </c>
      <c r="M42" s="16">
        <v>1</v>
      </c>
      <c r="N42" s="10" t="s">
        <v>256</v>
      </c>
      <c r="O42" s="25" t="s">
        <v>257</v>
      </c>
      <c r="P42" s="11"/>
      <c r="Q42" s="10" t="s">
        <v>258</v>
      </c>
      <c r="R42" s="10" t="s">
        <v>259</v>
      </c>
      <c r="S42" s="10" t="s">
        <v>56</v>
      </c>
      <c r="T42" s="11"/>
      <c r="U42" s="11"/>
      <c r="V42" s="16">
        <v>85364</v>
      </c>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row>
    <row r="43" spans="1:63" ht="12.75">
      <c r="A43" s="7" t="s">
        <v>91</v>
      </c>
      <c r="B43" s="11"/>
      <c r="C43" s="24" t="s">
        <v>260</v>
      </c>
      <c r="D43" s="11"/>
      <c r="E43" s="24" t="s">
        <v>260</v>
      </c>
      <c r="F43" s="11"/>
      <c r="G43" s="12" t="s">
        <v>31</v>
      </c>
      <c r="H43" s="5" t="s">
        <v>94</v>
      </c>
      <c r="I43" s="5" t="s">
        <v>261</v>
      </c>
      <c r="J43" s="10" t="s">
        <v>49</v>
      </c>
      <c r="K43" s="14" t="s">
        <v>35</v>
      </c>
      <c r="L43" s="10" t="s">
        <v>255</v>
      </c>
      <c r="M43" s="16">
        <v>1</v>
      </c>
      <c r="N43" s="10" t="s">
        <v>256</v>
      </c>
      <c r="O43" s="25" t="s">
        <v>257</v>
      </c>
      <c r="P43" s="11"/>
      <c r="Q43" s="10" t="s">
        <v>258</v>
      </c>
      <c r="R43" s="10" t="s">
        <v>259</v>
      </c>
      <c r="S43" s="10" t="s">
        <v>56</v>
      </c>
      <c r="T43" s="11"/>
      <c r="U43" s="11"/>
      <c r="V43" s="16">
        <v>85364</v>
      </c>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row>
    <row r="44" spans="1:63" ht="12.75">
      <c r="A44" s="7" t="s">
        <v>230</v>
      </c>
      <c r="B44" s="11"/>
      <c r="C44" s="25" t="s">
        <v>262</v>
      </c>
      <c r="D44" s="11"/>
      <c r="E44" s="25" t="s">
        <v>262</v>
      </c>
      <c r="F44" s="11"/>
      <c r="G44" s="35" t="s">
        <v>232</v>
      </c>
      <c r="H44" s="10" t="s">
        <v>233</v>
      </c>
      <c r="I44" s="10" t="s">
        <v>263</v>
      </c>
      <c r="J44" s="10" t="s">
        <v>264</v>
      </c>
      <c r="K44" s="14" t="s">
        <v>35</v>
      </c>
      <c r="L44" s="10" t="s">
        <v>265</v>
      </c>
      <c r="M44" s="16">
        <v>1</v>
      </c>
      <c r="N44" s="10" t="s">
        <v>266</v>
      </c>
      <c r="O44" s="10" t="s">
        <v>267</v>
      </c>
      <c r="P44" s="11"/>
      <c r="Q44" s="10" t="s">
        <v>268</v>
      </c>
      <c r="R44" s="10" t="s">
        <v>240</v>
      </c>
      <c r="S44" s="10" t="s">
        <v>56</v>
      </c>
      <c r="T44" s="11"/>
      <c r="U44" s="11"/>
      <c r="V44" s="16">
        <v>78586</v>
      </c>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row>
    <row r="45" spans="1:63" ht="12.75">
      <c r="A45" s="7" t="s">
        <v>269</v>
      </c>
      <c r="B45" s="11"/>
      <c r="C45" s="25" t="s">
        <v>270</v>
      </c>
      <c r="D45" s="11"/>
      <c r="E45" s="25" t="s">
        <v>270</v>
      </c>
      <c r="F45" s="11"/>
      <c r="G45" s="12" t="s">
        <v>109</v>
      </c>
      <c r="H45" s="10" t="s">
        <v>271</v>
      </c>
      <c r="I45" s="10" t="s">
        <v>272</v>
      </c>
      <c r="J45" s="10" t="s">
        <v>102</v>
      </c>
      <c r="K45" s="14" t="s">
        <v>35</v>
      </c>
      <c r="L45" s="10" t="s">
        <v>273</v>
      </c>
      <c r="M45" s="16">
        <v>1</v>
      </c>
      <c r="N45" s="10" t="s">
        <v>274</v>
      </c>
      <c r="O45" s="25" t="s">
        <v>275</v>
      </c>
      <c r="P45" s="11"/>
      <c r="Q45" s="10" t="s">
        <v>276</v>
      </c>
      <c r="R45" s="10" t="s">
        <v>276</v>
      </c>
      <c r="S45" s="10" t="s">
        <v>277</v>
      </c>
      <c r="T45" s="11"/>
      <c r="U45" s="11"/>
      <c r="V45" s="16">
        <v>8046</v>
      </c>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row>
    <row r="46" spans="1:63" ht="12.75">
      <c r="A46" s="36" t="s">
        <v>252</v>
      </c>
      <c r="B46" s="6"/>
      <c r="C46" s="37" t="s">
        <v>278</v>
      </c>
      <c r="D46" s="6"/>
      <c r="E46" s="37" t="s">
        <v>278</v>
      </c>
      <c r="F46" s="6"/>
      <c r="G46" s="12" t="s">
        <v>109</v>
      </c>
      <c r="H46" s="5" t="s">
        <v>94</v>
      </c>
      <c r="I46" s="5" t="s">
        <v>279</v>
      </c>
      <c r="J46" s="10" t="s">
        <v>175</v>
      </c>
      <c r="K46" s="14" t="s">
        <v>35</v>
      </c>
      <c r="L46" s="10" t="s">
        <v>280</v>
      </c>
      <c r="M46" s="16">
        <v>1</v>
      </c>
      <c r="N46" s="10" t="s">
        <v>281</v>
      </c>
      <c r="O46" s="10" t="s">
        <v>282</v>
      </c>
      <c r="P46" s="11"/>
      <c r="Q46" s="10" t="s">
        <v>283</v>
      </c>
      <c r="R46" s="10" t="s">
        <v>145</v>
      </c>
      <c r="S46" s="10" t="s">
        <v>56</v>
      </c>
      <c r="T46" s="11"/>
      <c r="U46" s="11"/>
      <c r="V46" s="16">
        <v>36610</v>
      </c>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row>
    <row r="47" spans="1:63" ht="12.75">
      <c r="A47" s="7" t="s">
        <v>284</v>
      </c>
      <c r="B47" s="11"/>
      <c r="C47" s="25" t="s">
        <v>285</v>
      </c>
      <c r="D47" s="11"/>
      <c r="E47" s="25" t="s">
        <v>285</v>
      </c>
      <c r="F47" s="11"/>
      <c r="G47" s="12" t="s">
        <v>31</v>
      </c>
      <c r="H47" s="10" t="s">
        <v>286</v>
      </c>
      <c r="I47" s="10" t="s">
        <v>287</v>
      </c>
      <c r="J47" s="10" t="s">
        <v>102</v>
      </c>
      <c r="K47" s="14" t="s">
        <v>35</v>
      </c>
      <c r="L47" s="10" t="s">
        <v>288</v>
      </c>
      <c r="M47" s="16">
        <v>1</v>
      </c>
      <c r="N47" s="10" t="s">
        <v>289</v>
      </c>
      <c r="O47" s="25" t="s">
        <v>290</v>
      </c>
      <c r="P47" s="11"/>
      <c r="Q47" s="10" t="s">
        <v>291</v>
      </c>
      <c r="R47" s="10" t="s">
        <v>100</v>
      </c>
      <c r="S47" s="10" t="s">
        <v>56</v>
      </c>
      <c r="T47" s="11"/>
      <c r="U47" s="11"/>
      <c r="V47" s="16">
        <v>70374</v>
      </c>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row>
    <row r="48" spans="1:63" ht="12.75">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row>
    <row r="49" spans="1:63" ht="12.75">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row>
    <row r="50" spans="1:63" ht="12.75">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row>
    <row r="51" spans="1:63" ht="12.75">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row>
    <row r="52" spans="1:63" ht="12.75">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row>
    <row r="53" spans="1:63" ht="12.75">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row>
    <row r="54" spans="1:63" ht="12.75">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row>
    <row r="55" spans="1:63" ht="12.7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row>
    <row r="56" spans="1:63" ht="12.75">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row>
    <row r="57" spans="1:63" ht="12.75">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row>
    <row r="58" spans="1:63" ht="12.75">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row>
    <row r="59" spans="1:63" ht="12.75">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row>
    <row r="60" spans="1:63" ht="12.75">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row>
    <row r="61" spans="1:63" ht="12.75">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row>
    <row r="62" spans="1:63" ht="12.75">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row>
    <row r="63" spans="1:63" ht="12.75">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row>
    <row r="64" spans="1:63" ht="12.75">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row>
    <row r="65" spans="1:63" ht="12.7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row>
    <row r="66" spans="1:63" ht="12.75">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row>
    <row r="67" spans="1:63" ht="12.75">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row>
    <row r="68" spans="1:63" ht="12.75">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row>
    <row r="69" spans="1:63" ht="12.75">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row>
    <row r="70" spans="1:63" ht="12.75">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row>
    <row r="71" spans="1:63" ht="12.75">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row>
    <row r="72" spans="1:63" ht="12.75">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row>
    <row r="73" spans="1:63" ht="12.75">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row>
    <row r="74" spans="1:63" ht="12.75">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row>
    <row r="75" spans="1:63" ht="12.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row>
    <row r="76" spans="1:63" ht="12.75">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row>
    <row r="77" spans="1:63" ht="12.75">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row>
    <row r="78" spans="1:63" ht="12.75">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row>
    <row r="79" spans="1:63" ht="12.75">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row>
    <row r="80" spans="1:63" ht="12.75">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row>
    <row r="81" spans="1:63" ht="12.75">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row>
    <row r="82" spans="1:63" ht="12.75">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row>
    <row r="83" spans="1:63" ht="12.75">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row>
    <row r="84" spans="1:63" ht="12.75">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row>
    <row r="85" spans="1:63" ht="12.7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row>
    <row r="86" spans="1:63" ht="12.75">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row>
    <row r="87" spans="1:63" ht="12.75">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row>
    <row r="88" spans="1:63" ht="12.75">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row>
    <row r="89" spans="1:63" ht="12.75">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row>
    <row r="90" spans="1:63" ht="12.75">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row>
    <row r="91" spans="1:63" ht="12.75">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row>
    <row r="92" spans="1:63" ht="12.75">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row>
    <row r="93" spans="1:63" ht="12.75">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row>
    <row r="94" spans="1:63" ht="12.75">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row>
    <row r="95" spans="1:63" ht="12.7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row>
    <row r="96" spans="1:63" ht="12.75">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row>
    <row r="97" spans="1:63" ht="12.75">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row>
    <row r="98" spans="1:63" ht="12.75">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row>
    <row r="99" spans="1:63" ht="12.75">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row>
    <row r="100" spans="1:63" ht="12.75">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row>
    <row r="101" spans="1:63" ht="12.75">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row>
    <row r="102" spans="1:63" ht="12.75">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row>
    <row r="103" spans="1:63" ht="12.75">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row>
    <row r="104" spans="1:63" ht="12.75">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row>
    <row r="105" spans="1:63" ht="12.7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row>
    <row r="106" spans="1:63" ht="12.75">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row>
    <row r="107" spans="1:63" ht="12.75">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row>
    <row r="108" spans="1:63" ht="12.75">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row>
    <row r="109" spans="1:63" ht="12.75">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row>
    <row r="110" spans="1:63" ht="12.75">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row>
    <row r="111" spans="1:63" ht="12.75">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row>
    <row r="112" spans="1:63" ht="12.75">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row>
    <row r="113" spans="1:63" ht="12.75">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row>
    <row r="114" spans="1:63" ht="12.75">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row>
    <row r="115" spans="1:63" ht="12.7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row>
    <row r="116" spans="1:63" ht="12.75">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row>
    <row r="117" spans="1:63" ht="12.75">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row>
    <row r="118" spans="1:63" ht="12.75">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row>
    <row r="119" spans="1:63" ht="12.75">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row>
    <row r="120" spans="1:63" ht="12.75">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row>
    <row r="121" spans="1:63" ht="12.75">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row>
    <row r="122" spans="1:63" ht="12.75">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row>
    <row r="123" spans="1:63" ht="12.75">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row>
    <row r="124" spans="1:63" ht="12.75">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row>
    <row r="125" spans="1:63" ht="12.7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row>
    <row r="126" spans="1:63" ht="12.75">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row>
    <row r="127" spans="1:63" ht="12.75">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row>
    <row r="128" spans="1:63" ht="12.75">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row>
    <row r="129" spans="1:63" ht="12.75">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row>
    <row r="130" spans="1:63" ht="12.75">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row>
    <row r="131" spans="1:63" ht="12.75">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row>
    <row r="132" spans="1:63" ht="12.75">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row>
    <row r="133" spans="1:63" ht="12.75">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row>
    <row r="134" spans="1:63" ht="12.75">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row>
    <row r="135" spans="1:63" ht="12.7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row>
    <row r="136" spans="1:63" ht="12.75">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row>
    <row r="137" spans="1:63" ht="12.75">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row>
    <row r="138" spans="1:63" ht="12.75">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row>
    <row r="139" spans="1:63" ht="12.75">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row>
    <row r="140" spans="1:63" ht="12.75">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row>
    <row r="141" spans="1:63" ht="12.75">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row>
    <row r="142" spans="1:63" ht="12.75">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row>
    <row r="143" spans="1:63" ht="12.75">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row>
    <row r="144" spans="1:63" ht="12.75">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row>
    <row r="145" spans="1:63" ht="12.7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row>
    <row r="146" spans="1:63" ht="12.75">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row>
    <row r="147" spans="1:63" ht="12.75">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row>
    <row r="148" spans="1:63" ht="12.75">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row>
    <row r="149" spans="1:63" ht="12.75">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row>
    <row r="150" spans="1:63" ht="12.75">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row>
    <row r="151" spans="1:63" ht="12.75">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row>
    <row r="152" spans="1:63" ht="12.75">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row>
    <row r="153" spans="1:63" ht="12.75">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row>
    <row r="154" spans="1:63" ht="12.75">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row>
    <row r="155" spans="1:63" ht="12.7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row>
    <row r="156" spans="1:63" ht="12.75">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row>
    <row r="157" spans="1:63" ht="12.75">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row>
    <row r="158" spans="1:63" ht="12.75">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row>
    <row r="159" spans="1:63" ht="12.75">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row>
    <row r="160" spans="1:63" ht="12.75">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row>
    <row r="161" spans="1:63" ht="12.75">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row>
    <row r="162" spans="1:63" ht="12.75">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row>
    <row r="163" spans="1:63" ht="12.75">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row>
    <row r="164" spans="1:63" ht="12.75">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row>
    <row r="165" spans="1:63" ht="12.7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row>
    <row r="166" spans="1:63" ht="12.75">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row>
    <row r="167" spans="1:63" ht="12.75">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row>
    <row r="168" spans="1:63" ht="12.75">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row>
    <row r="169" spans="1:63" ht="12.75">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row>
    <row r="170" spans="1:63" ht="12.75">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row>
    <row r="171" spans="1:63" ht="12.75">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row>
    <row r="172" spans="1:63" ht="12.75">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row>
    <row r="173" spans="1:63" ht="12.75">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row>
    <row r="174" spans="1:63" ht="12.75">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row>
    <row r="175" spans="1:63" ht="12.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row>
    <row r="176" spans="1:63" ht="12.75">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row>
    <row r="177" spans="1:63" ht="12.75">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row>
    <row r="178" spans="1:63" ht="12.75">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row>
    <row r="179" spans="1:63" ht="12.75">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row>
    <row r="180" spans="1:63" ht="12.75">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row>
    <row r="181" spans="1:63" ht="12.75">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row>
    <row r="182" spans="1:63" ht="12.75">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row>
    <row r="183" spans="1:63" ht="12.75">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row>
    <row r="184" spans="1:63" ht="12.75">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row>
    <row r="185" spans="1:63" ht="12.7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row>
    <row r="186" spans="1:63" ht="12.75">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row>
    <row r="187" spans="1:63" ht="12.75">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row>
    <row r="188" spans="1:63" ht="12.75">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row>
    <row r="189" spans="1:63" ht="12.75">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row>
    <row r="190" spans="1:63" ht="12.75">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row>
    <row r="191" spans="1:63" ht="12.75">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row>
    <row r="192" spans="1:63" ht="12.75">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row>
    <row r="193" spans="1:63" ht="12.75">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row>
    <row r="194" spans="1:63" ht="12.75">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row>
    <row r="195" spans="1:63" ht="12.7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row>
    <row r="196" spans="1:63" ht="12.75">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row>
    <row r="197" spans="1:63" ht="12.75">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row>
    <row r="198" spans="1:63" ht="12.75">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row>
    <row r="199" spans="1:63" ht="12.75">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row>
    <row r="200" spans="1:63" ht="12.75">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row>
    <row r="201" spans="1:63" ht="12.75">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row>
    <row r="202" spans="1:63" ht="12.75">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row>
    <row r="203" spans="1:63" ht="12.75">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row>
    <row r="204" spans="1:63" ht="12.75">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row>
    <row r="205" spans="1:63" ht="12.7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row>
    <row r="206" spans="1:63" ht="12.75">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row>
    <row r="207" spans="1:63" ht="12.75">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row>
    <row r="208" spans="1:63" ht="12.75">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row>
    <row r="209" spans="1:63" ht="12.75">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row>
    <row r="210" spans="1:63" ht="12.75">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row>
    <row r="211" spans="1:63" ht="12.75">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row>
    <row r="212" spans="1:63" ht="12.75">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row>
    <row r="213" spans="1:63" ht="12.75">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row>
    <row r="214" spans="1:63" ht="12.75">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row>
    <row r="215" spans="1:63" ht="12.7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row>
    <row r="216" spans="1:63" ht="12.75">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row>
    <row r="217" spans="1:63" ht="12.75">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row>
    <row r="218" spans="1:63" ht="12.75">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row>
    <row r="219" spans="1:63" ht="12.75">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row>
    <row r="220" spans="1:63" ht="12.75">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c r="BE220" s="11"/>
      <c r="BF220" s="11"/>
      <c r="BG220" s="11"/>
      <c r="BH220" s="11"/>
      <c r="BI220" s="11"/>
      <c r="BJ220" s="11"/>
      <c r="BK220" s="11"/>
    </row>
    <row r="221" spans="1:63" ht="12.75">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c r="BE221" s="11"/>
      <c r="BF221" s="11"/>
      <c r="BG221" s="11"/>
      <c r="BH221" s="11"/>
      <c r="BI221" s="11"/>
      <c r="BJ221" s="11"/>
      <c r="BK221" s="11"/>
    </row>
    <row r="222" spans="1:63" ht="12.75">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c r="BE222" s="11"/>
      <c r="BF222" s="11"/>
      <c r="BG222" s="11"/>
      <c r="BH222" s="11"/>
      <c r="BI222" s="11"/>
      <c r="BJ222" s="11"/>
      <c r="BK222" s="11"/>
    </row>
    <row r="223" spans="1:63" ht="12.75">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c r="BE223" s="11"/>
      <c r="BF223" s="11"/>
      <c r="BG223" s="11"/>
      <c r="BH223" s="11"/>
      <c r="BI223" s="11"/>
      <c r="BJ223" s="11"/>
      <c r="BK223" s="11"/>
    </row>
    <row r="224" spans="1:63" ht="12.75">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c r="BE224" s="11"/>
      <c r="BF224" s="11"/>
      <c r="BG224" s="11"/>
      <c r="BH224" s="11"/>
      <c r="BI224" s="11"/>
      <c r="BJ224" s="11"/>
      <c r="BK224" s="11"/>
    </row>
    <row r="225" spans="1:63" ht="12.7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c r="BE225" s="11"/>
      <c r="BF225" s="11"/>
      <c r="BG225" s="11"/>
      <c r="BH225" s="11"/>
      <c r="BI225" s="11"/>
      <c r="BJ225" s="11"/>
      <c r="BK225" s="11"/>
    </row>
    <row r="226" spans="1:63" ht="12.75">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c r="BD226" s="11"/>
      <c r="BE226" s="11"/>
      <c r="BF226" s="11"/>
      <c r="BG226" s="11"/>
      <c r="BH226" s="11"/>
      <c r="BI226" s="11"/>
      <c r="BJ226" s="11"/>
      <c r="BK226" s="11"/>
    </row>
    <row r="227" spans="1:63" ht="12.75">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c r="BD227" s="11"/>
      <c r="BE227" s="11"/>
      <c r="BF227" s="11"/>
      <c r="BG227" s="11"/>
      <c r="BH227" s="11"/>
      <c r="BI227" s="11"/>
      <c r="BJ227" s="11"/>
      <c r="BK227" s="11"/>
    </row>
    <row r="228" spans="1:63" ht="12.75">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c r="BD228" s="11"/>
      <c r="BE228" s="11"/>
      <c r="BF228" s="11"/>
      <c r="BG228" s="11"/>
      <c r="BH228" s="11"/>
      <c r="BI228" s="11"/>
      <c r="BJ228" s="11"/>
      <c r="BK228" s="11"/>
    </row>
    <row r="229" spans="1:63" ht="12.75">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c r="BD229" s="11"/>
      <c r="BE229" s="11"/>
      <c r="BF229" s="11"/>
      <c r="BG229" s="11"/>
      <c r="BH229" s="11"/>
      <c r="BI229" s="11"/>
      <c r="BJ229" s="11"/>
      <c r="BK229" s="11"/>
    </row>
    <row r="230" spans="1:63" ht="12.75">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c r="BD230" s="11"/>
      <c r="BE230" s="11"/>
      <c r="BF230" s="11"/>
      <c r="BG230" s="11"/>
      <c r="BH230" s="11"/>
      <c r="BI230" s="11"/>
      <c r="BJ230" s="11"/>
      <c r="BK230" s="11"/>
    </row>
    <row r="231" spans="1:63" ht="12.75">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c r="BD231" s="11"/>
      <c r="BE231" s="11"/>
      <c r="BF231" s="11"/>
      <c r="BG231" s="11"/>
      <c r="BH231" s="11"/>
      <c r="BI231" s="11"/>
      <c r="BJ231" s="11"/>
      <c r="BK231" s="11"/>
    </row>
    <row r="232" spans="1:63" ht="12.75">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c r="BD232" s="11"/>
      <c r="BE232" s="11"/>
      <c r="BF232" s="11"/>
      <c r="BG232" s="11"/>
      <c r="BH232" s="11"/>
      <c r="BI232" s="11"/>
      <c r="BJ232" s="11"/>
      <c r="BK232" s="11"/>
    </row>
    <row r="233" spans="1:63" ht="12.75">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c r="BD233" s="11"/>
      <c r="BE233" s="11"/>
      <c r="BF233" s="11"/>
      <c r="BG233" s="11"/>
      <c r="BH233" s="11"/>
      <c r="BI233" s="11"/>
      <c r="BJ233" s="11"/>
      <c r="BK233" s="11"/>
    </row>
    <row r="234" spans="1:63" ht="12.75">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c r="BD234" s="11"/>
      <c r="BE234" s="11"/>
      <c r="BF234" s="11"/>
      <c r="BG234" s="11"/>
      <c r="BH234" s="11"/>
      <c r="BI234" s="11"/>
      <c r="BJ234" s="11"/>
      <c r="BK234" s="11"/>
    </row>
    <row r="235" spans="1:63" ht="12.7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c r="BD235" s="11"/>
      <c r="BE235" s="11"/>
      <c r="BF235" s="11"/>
      <c r="BG235" s="11"/>
      <c r="BH235" s="11"/>
      <c r="BI235" s="11"/>
      <c r="BJ235" s="11"/>
      <c r="BK235" s="11"/>
    </row>
    <row r="236" spans="1:63" ht="12.75">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c r="BD236" s="11"/>
      <c r="BE236" s="11"/>
      <c r="BF236" s="11"/>
      <c r="BG236" s="11"/>
      <c r="BH236" s="11"/>
      <c r="BI236" s="11"/>
      <c r="BJ236" s="11"/>
      <c r="BK236" s="11"/>
    </row>
    <row r="237" spans="1:63" ht="12.75">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c r="BD237" s="11"/>
      <c r="BE237" s="11"/>
      <c r="BF237" s="11"/>
      <c r="BG237" s="11"/>
      <c r="BH237" s="11"/>
      <c r="BI237" s="11"/>
      <c r="BJ237" s="11"/>
      <c r="BK237" s="11"/>
    </row>
    <row r="238" spans="1:63" ht="12.75">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c r="BD238" s="11"/>
      <c r="BE238" s="11"/>
      <c r="BF238" s="11"/>
      <c r="BG238" s="11"/>
      <c r="BH238" s="11"/>
      <c r="BI238" s="11"/>
      <c r="BJ238" s="11"/>
      <c r="BK238" s="11"/>
    </row>
    <row r="239" spans="1:63" ht="12.75">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c r="BD239" s="11"/>
      <c r="BE239" s="11"/>
      <c r="BF239" s="11"/>
      <c r="BG239" s="11"/>
      <c r="BH239" s="11"/>
      <c r="BI239" s="11"/>
      <c r="BJ239" s="11"/>
      <c r="BK239" s="11"/>
    </row>
    <row r="240" spans="1:63" ht="12.75">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c r="BD240" s="11"/>
      <c r="BE240" s="11"/>
      <c r="BF240" s="11"/>
      <c r="BG240" s="11"/>
      <c r="BH240" s="11"/>
      <c r="BI240" s="11"/>
      <c r="BJ240" s="11"/>
      <c r="BK240" s="11"/>
    </row>
    <row r="241" spans="1:63" ht="12.75">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c r="BJ241" s="11"/>
      <c r="BK241" s="11"/>
    </row>
    <row r="242" spans="1:63" ht="12.75">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c r="BD242" s="11"/>
      <c r="BE242" s="11"/>
      <c r="BF242" s="11"/>
      <c r="BG242" s="11"/>
      <c r="BH242" s="11"/>
      <c r="BI242" s="11"/>
      <c r="BJ242" s="11"/>
      <c r="BK242" s="11"/>
    </row>
    <row r="243" spans="1:63" ht="12.75">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c r="BD243" s="11"/>
      <c r="BE243" s="11"/>
      <c r="BF243" s="11"/>
      <c r="BG243" s="11"/>
      <c r="BH243" s="11"/>
      <c r="BI243" s="11"/>
      <c r="BJ243" s="11"/>
      <c r="BK243" s="11"/>
    </row>
    <row r="244" spans="1:63" ht="12.75">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c r="BD244" s="11"/>
      <c r="BE244" s="11"/>
      <c r="BF244" s="11"/>
      <c r="BG244" s="11"/>
      <c r="BH244" s="11"/>
      <c r="BI244" s="11"/>
      <c r="BJ244" s="11"/>
      <c r="BK244" s="11"/>
    </row>
    <row r="245" spans="1:63" ht="12.7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c r="BD245" s="11"/>
      <c r="BE245" s="11"/>
      <c r="BF245" s="11"/>
      <c r="BG245" s="11"/>
      <c r="BH245" s="11"/>
      <c r="BI245" s="11"/>
      <c r="BJ245" s="11"/>
      <c r="BK245" s="11"/>
    </row>
    <row r="246" spans="1:63" ht="12.75">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c r="BD246" s="11"/>
      <c r="BE246" s="11"/>
      <c r="BF246" s="11"/>
      <c r="BG246" s="11"/>
      <c r="BH246" s="11"/>
      <c r="BI246" s="11"/>
      <c r="BJ246" s="11"/>
      <c r="BK246" s="11"/>
    </row>
    <row r="247" spans="1:63" ht="12.75">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c r="BD247" s="11"/>
      <c r="BE247" s="11"/>
      <c r="BF247" s="11"/>
      <c r="BG247" s="11"/>
      <c r="BH247" s="11"/>
      <c r="BI247" s="11"/>
      <c r="BJ247" s="11"/>
      <c r="BK247" s="11"/>
    </row>
    <row r="248" spans="1:63" ht="12.75">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c r="BD248" s="11"/>
      <c r="BE248" s="11"/>
      <c r="BF248" s="11"/>
      <c r="BG248" s="11"/>
      <c r="BH248" s="11"/>
      <c r="BI248" s="11"/>
      <c r="BJ248" s="11"/>
      <c r="BK248" s="11"/>
    </row>
    <row r="249" spans="1:63" ht="12.75">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c r="BD249" s="11"/>
      <c r="BE249" s="11"/>
      <c r="BF249" s="11"/>
      <c r="BG249" s="11"/>
      <c r="BH249" s="11"/>
      <c r="BI249" s="11"/>
      <c r="BJ249" s="11"/>
      <c r="BK249" s="11"/>
    </row>
    <row r="250" spans="1:63" ht="12.75">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c r="BD250" s="11"/>
      <c r="BE250" s="11"/>
      <c r="BF250" s="11"/>
      <c r="BG250" s="11"/>
      <c r="BH250" s="11"/>
      <c r="BI250" s="11"/>
      <c r="BJ250" s="11"/>
      <c r="BK250" s="11"/>
    </row>
    <row r="251" spans="1:63" ht="12.75">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c r="BD251" s="11"/>
      <c r="BE251" s="11"/>
      <c r="BF251" s="11"/>
      <c r="BG251" s="11"/>
      <c r="BH251" s="11"/>
      <c r="BI251" s="11"/>
      <c r="BJ251" s="11"/>
      <c r="BK251" s="11"/>
    </row>
    <row r="252" spans="1:63" ht="12.75">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c r="BE252" s="11"/>
      <c r="BF252" s="11"/>
      <c r="BG252" s="11"/>
      <c r="BH252" s="11"/>
      <c r="BI252" s="11"/>
      <c r="BJ252" s="11"/>
      <c r="BK252" s="11"/>
    </row>
    <row r="253" spans="1:63" ht="12.75">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c r="BE253" s="11"/>
      <c r="BF253" s="11"/>
      <c r="BG253" s="11"/>
      <c r="BH253" s="11"/>
      <c r="BI253" s="11"/>
      <c r="BJ253" s="11"/>
      <c r="BK253" s="11"/>
    </row>
    <row r="254" spans="1:63" ht="12.75">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c r="BE254" s="11"/>
      <c r="BF254" s="11"/>
      <c r="BG254" s="11"/>
      <c r="BH254" s="11"/>
      <c r="BI254" s="11"/>
      <c r="BJ254" s="11"/>
      <c r="BK254" s="11"/>
    </row>
    <row r="255" spans="1:63" ht="12.7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c r="BE255" s="11"/>
      <c r="BF255" s="11"/>
      <c r="BG255" s="11"/>
      <c r="BH255" s="11"/>
      <c r="BI255" s="11"/>
      <c r="BJ255" s="11"/>
      <c r="BK255" s="11"/>
    </row>
    <row r="256" spans="1:63" ht="12.75">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c r="BE256" s="11"/>
      <c r="BF256" s="11"/>
      <c r="BG256" s="11"/>
      <c r="BH256" s="11"/>
      <c r="BI256" s="11"/>
      <c r="BJ256" s="11"/>
      <c r="BK256" s="11"/>
    </row>
    <row r="257" spans="1:63" ht="12.75">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c r="BE257" s="11"/>
      <c r="BF257" s="11"/>
      <c r="BG257" s="11"/>
      <c r="BH257" s="11"/>
      <c r="BI257" s="11"/>
      <c r="BJ257" s="11"/>
      <c r="BK257" s="11"/>
    </row>
    <row r="258" spans="1:63" ht="12.75">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c r="BE258" s="11"/>
      <c r="BF258" s="11"/>
      <c r="BG258" s="11"/>
      <c r="BH258" s="11"/>
      <c r="BI258" s="11"/>
      <c r="BJ258" s="11"/>
      <c r="BK258" s="11"/>
    </row>
    <row r="259" spans="1:63" ht="12.75">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c r="BE259" s="11"/>
      <c r="BF259" s="11"/>
      <c r="BG259" s="11"/>
      <c r="BH259" s="11"/>
      <c r="BI259" s="11"/>
      <c r="BJ259" s="11"/>
      <c r="BK259" s="11"/>
    </row>
    <row r="260" spans="1:63" ht="12.75">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c r="BE260" s="11"/>
      <c r="BF260" s="11"/>
      <c r="BG260" s="11"/>
      <c r="BH260" s="11"/>
      <c r="BI260" s="11"/>
      <c r="BJ260" s="11"/>
      <c r="BK260" s="11"/>
    </row>
    <row r="261" spans="1:63" ht="12.75">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c r="BE261" s="11"/>
      <c r="BF261" s="11"/>
      <c r="BG261" s="11"/>
      <c r="BH261" s="11"/>
      <c r="BI261" s="11"/>
      <c r="BJ261" s="11"/>
      <c r="BK261" s="11"/>
    </row>
    <row r="262" spans="1:63" ht="12.75">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c r="BE262" s="11"/>
      <c r="BF262" s="11"/>
      <c r="BG262" s="11"/>
      <c r="BH262" s="11"/>
      <c r="BI262" s="11"/>
      <c r="BJ262" s="11"/>
      <c r="BK262" s="11"/>
    </row>
    <row r="263" spans="1:63" ht="12.75">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c r="BD263" s="11"/>
      <c r="BE263" s="11"/>
      <c r="BF263" s="11"/>
      <c r="BG263" s="11"/>
      <c r="BH263" s="11"/>
      <c r="BI263" s="11"/>
      <c r="BJ263" s="11"/>
      <c r="BK263" s="11"/>
    </row>
    <row r="264" spans="1:63" ht="12.75">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c r="BD264" s="11"/>
      <c r="BE264" s="11"/>
      <c r="BF264" s="11"/>
      <c r="BG264" s="11"/>
      <c r="BH264" s="11"/>
      <c r="BI264" s="11"/>
      <c r="BJ264" s="11"/>
      <c r="BK264" s="11"/>
    </row>
    <row r="265" spans="1:63" ht="12.7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c r="BD265" s="11"/>
      <c r="BE265" s="11"/>
      <c r="BF265" s="11"/>
      <c r="BG265" s="11"/>
      <c r="BH265" s="11"/>
      <c r="BI265" s="11"/>
      <c r="BJ265" s="11"/>
      <c r="BK265" s="11"/>
    </row>
    <row r="266" spans="1:63" ht="12.75">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c r="BD266" s="11"/>
      <c r="BE266" s="11"/>
      <c r="BF266" s="11"/>
      <c r="BG266" s="11"/>
      <c r="BH266" s="11"/>
      <c r="BI266" s="11"/>
      <c r="BJ266" s="11"/>
      <c r="BK266" s="11"/>
    </row>
    <row r="267" spans="1:63" ht="12.75">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c r="BD267" s="11"/>
      <c r="BE267" s="11"/>
      <c r="BF267" s="11"/>
      <c r="BG267" s="11"/>
      <c r="BH267" s="11"/>
      <c r="BI267" s="11"/>
      <c r="BJ267" s="11"/>
      <c r="BK267" s="11"/>
    </row>
    <row r="268" spans="1:63" ht="12.75">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c r="BD268" s="11"/>
      <c r="BE268" s="11"/>
      <c r="BF268" s="11"/>
      <c r="BG268" s="11"/>
      <c r="BH268" s="11"/>
      <c r="BI268" s="11"/>
      <c r="BJ268" s="11"/>
      <c r="BK268" s="11"/>
    </row>
    <row r="269" spans="1:63" ht="12.75">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c r="BD269" s="11"/>
      <c r="BE269" s="11"/>
      <c r="BF269" s="11"/>
      <c r="BG269" s="11"/>
      <c r="BH269" s="11"/>
      <c r="BI269" s="11"/>
      <c r="BJ269" s="11"/>
      <c r="BK269" s="11"/>
    </row>
    <row r="270" spans="1:63" ht="12.75">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c r="BD270" s="11"/>
      <c r="BE270" s="11"/>
      <c r="BF270" s="11"/>
      <c r="BG270" s="11"/>
      <c r="BH270" s="11"/>
      <c r="BI270" s="11"/>
      <c r="BJ270" s="11"/>
      <c r="BK270" s="11"/>
    </row>
    <row r="271" spans="1:63" ht="12.75">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c r="BD271" s="11"/>
      <c r="BE271" s="11"/>
      <c r="BF271" s="11"/>
      <c r="BG271" s="11"/>
      <c r="BH271" s="11"/>
      <c r="BI271" s="11"/>
      <c r="BJ271" s="11"/>
      <c r="BK271" s="11"/>
    </row>
    <row r="272" spans="1:63" ht="12.75">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c r="BD272" s="11"/>
      <c r="BE272" s="11"/>
      <c r="BF272" s="11"/>
      <c r="BG272" s="11"/>
      <c r="BH272" s="11"/>
      <c r="BI272" s="11"/>
      <c r="BJ272" s="11"/>
      <c r="BK272" s="11"/>
    </row>
    <row r="273" spans="1:63" ht="12.75">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c r="BD273" s="11"/>
      <c r="BE273" s="11"/>
      <c r="BF273" s="11"/>
      <c r="BG273" s="11"/>
      <c r="BH273" s="11"/>
      <c r="BI273" s="11"/>
      <c r="BJ273" s="11"/>
      <c r="BK273" s="11"/>
    </row>
    <row r="274" spans="1:63" ht="12.75">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c r="BD274" s="11"/>
      <c r="BE274" s="11"/>
      <c r="BF274" s="11"/>
      <c r="BG274" s="11"/>
      <c r="BH274" s="11"/>
      <c r="BI274" s="11"/>
      <c r="BJ274" s="11"/>
      <c r="BK274" s="11"/>
    </row>
    <row r="275" spans="1:63" ht="1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c r="BD275" s="11"/>
      <c r="BE275" s="11"/>
      <c r="BF275" s="11"/>
      <c r="BG275" s="11"/>
      <c r="BH275" s="11"/>
      <c r="BI275" s="11"/>
      <c r="BJ275" s="11"/>
      <c r="BK275" s="11"/>
    </row>
    <row r="276" spans="1:63" ht="12.75">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c r="BD276" s="11"/>
      <c r="BE276" s="11"/>
      <c r="BF276" s="11"/>
      <c r="BG276" s="11"/>
      <c r="BH276" s="11"/>
      <c r="BI276" s="11"/>
      <c r="BJ276" s="11"/>
      <c r="BK276" s="11"/>
    </row>
    <row r="277" spans="1:63" ht="12.75">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c r="BD277" s="11"/>
      <c r="BE277" s="11"/>
      <c r="BF277" s="11"/>
      <c r="BG277" s="11"/>
      <c r="BH277" s="11"/>
      <c r="BI277" s="11"/>
      <c r="BJ277" s="11"/>
      <c r="BK277" s="11"/>
    </row>
    <row r="278" spans="1:63" ht="12.75">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c r="BD278" s="11"/>
      <c r="BE278" s="11"/>
      <c r="BF278" s="11"/>
      <c r="BG278" s="11"/>
      <c r="BH278" s="11"/>
      <c r="BI278" s="11"/>
      <c r="BJ278" s="11"/>
      <c r="BK278" s="11"/>
    </row>
    <row r="279" spans="1:63" ht="12.75">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c r="BD279" s="11"/>
      <c r="BE279" s="11"/>
      <c r="BF279" s="11"/>
      <c r="BG279" s="11"/>
      <c r="BH279" s="11"/>
      <c r="BI279" s="11"/>
      <c r="BJ279" s="11"/>
      <c r="BK279" s="11"/>
    </row>
    <row r="280" spans="1:63" ht="12.75">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c r="BD280" s="11"/>
      <c r="BE280" s="11"/>
      <c r="BF280" s="11"/>
      <c r="BG280" s="11"/>
      <c r="BH280" s="11"/>
      <c r="BI280" s="11"/>
      <c r="BJ280" s="11"/>
      <c r="BK280" s="11"/>
    </row>
    <row r="281" spans="1:63" ht="12.75">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c r="BD281" s="11"/>
      <c r="BE281" s="11"/>
      <c r="BF281" s="11"/>
      <c r="BG281" s="11"/>
      <c r="BH281" s="11"/>
      <c r="BI281" s="11"/>
      <c r="BJ281" s="11"/>
      <c r="BK281" s="11"/>
    </row>
    <row r="282" spans="1:63" ht="12.75">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c r="BD282" s="11"/>
      <c r="BE282" s="11"/>
      <c r="BF282" s="11"/>
      <c r="BG282" s="11"/>
      <c r="BH282" s="11"/>
      <c r="BI282" s="11"/>
      <c r="BJ282" s="11"/>
      <c r="BK282" s="11"/>
    </row>
    <row r="283" spans="1:63" ht="12.75">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row>
    <row r="284" spans="1:63" ht="12.75">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c r="BD284" s="11"/>
      <c r="BE284" s="11"/>
      <c r="BF284" s="11"/>
      <c r="BG284" s="11"/>
      <c r="BH284" s="11"/>
      <c r="BI284" s="11"/>
      <c r="BJ284" s="11"/>
      <c r="BK284" s="11"/>
    </row>
    <row r="285" spans="1:63" ht="12.7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c r="BD285" s="11"/>
      <c r="BE285" s="11"/>
      <c r="BF285" s="11"/>
      <c r="BG285" s="11"/>
      <c r="BH285" s="11"/>
      <c r="BI285" s="11"/>
      <c r="BJ285" s="11"/>
      <c r="BK285" s="11"/>
    </row>
    <row r="286" spans="1:63" ht="12.75">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c r="BD286" s="11"/>
      <c r="BE286" s="11"/>
      <c r="BF286" s="11"/>
      <c r="BG286" s="11"/>
      <c r="BH286" s="11"/>
      <c r="BI286" s="11"/>
      <c r="BJ286" s="11"/>
      <c r="BK286" s="11"/>
    </row>
    <row r="287" spans="1:63" ht="12.75">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c r="BD287" s="11"/>
      <c r="BE287" s="11"/>
      <c r="BF287" s="11"/>
      <c r="BG287" s="11"/>
      <c r="BH287" s="11"/>
      <c r="BI287" s="11"/>
      <c r="BJ287" s="11"/>
      <c r="BK287" s="11"/>
    </row>
    <row r="288" spans="1:63" ht="12.75">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c r="BD288" s="11"/>
      <c r="BE288" s="11"/>
      <c r="BF288" s="11"/>
      <c r="BG288" s="11"/>
      <c r="BH288" s="11"/>
      <c r="BI288" s="11"/>
      <c r="BJ288" s="11"/>
      <c r="BK288" s="11"/>
    </row>
    <row r="289" spans="1:63" ht="12.75">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c r="BD289" s="11"/>
      <c r="BE289" s="11"/>
      <c r="BF289" s="11"/>
      <c r="BG289" s="11"/>
      <c r="BH289" s="11"/>
      <c r="BI289" s="11"/>
      <c r="BJ289" s="11"/>
      <c r="BK289" s="11"/>
    </row>
    <row r="290" spans="1:63" ht="12.75">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c r="BD290" s="11"/>
      <c r="BE290" s="11"/>
      <c r="BF290" s="11"/>
      <c r="BG290" s="11"/>
      <c r="BH290" s="11"/>
      <c r="BI290" s="11"/>
      <c r="BJ290" s="11"/>
      <c r="BK290" s="11"/>
    </row>
    <row r="291" spans="1:63" ht="12.75">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c r="BD291" s="11"/>
      <c r="BE291" s="11"/>
      <c r="BF291" s="11"/>
      <c r="BG291" s="11"/>
      <c r="BH291" s="11"/>
      <c r="BI291" s="11"/>
      <c r="BJ291" s="11"/>
      <c r="BK291" s="11"/>
    </row>
    <row r="292" spans="1:63" ht="12.75">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c r="BD292" s="11"/>
      <c r="BE292" s="11"/>
      <c r="BF292" s="11"/>
      <c r="BG292" s="11"/>
      <c r="BH292" s="11"/>
      <c r="BI292" s="11"/>
      <c r="BJ292" s="11"/>
      <c r="BK292" s="11"/>
    </row>
    <row r="293" spans="1:63" ht="12.75">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c r="BD293" s="11"/>
      <c r="BE293" s="11"/>
      <c r="BF293" s="11"/>
      <c r="BG293" s="11"/>
      <c r="BH293" s="11"/>
      <c r="BI293" s="11"/>
      <c r="BJ293" s="11"/>
      <c r="BK293" s="11"/>
    </row>
    <row r="294" spans="1:63" ht="12.75">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c r="BD294" s="11"/>
      <c r="BE294" s="11"/>
      <c r="BF294" s="11"/>
      <c r="BG294" s="11"/>
      <c r="BH294" s="11"/>
      <c r="BI294" s="11"/>
      <c r="BJ294" s="11"/>
      <c r="BK294" s="11"/>
    </row>
    <row r="295" spans="1:63" ht="12.7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c r="BD295" s="11"/>
      <c r="BE295" s="11"/>
      <c r="BF295" s="11"/>
      <c r="BG295" s="11"/>
      <c r="BH295" s="11"/>
      <c r="BI295" s="11"/>
      <c r="BJ295" s="11"/>
      <c r="BK295" s="11"/>
    </row>
    <row r="296" spans="1:63" ht="12.75">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c r="BD296" s="11"/>
      <c r="BE296" s="11"/>
      <c r="BF296" s="11"/>
      <c r="BG296" s="11"/>
      <c r="BH296" s="11"/>
      <c r="BI296" s="11"/>
      <c r="BJ296" s="11"/>
      <c r="BK296" s="11"/>
    </row>
    <row r="297" spans="1:63" ht="12.75">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c r="BD297" s="11"/>
      <c r="BE297" s="11"/>
      <c r="BF297" s="11"/>
      <c r="BG297" s="11"/>
      <c r="BH297" s="11"/>
      <c r="BI297" s="11"/>
      <c r="BJ297" s="11"/>
      <c r="BK297" s="11"/>
    </row>
    <row r="298" spans="1:63" ht="12.75">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c r="BD298" s="11"/>
      <c r="BE298" s="11"/>
      <c r="BF298" s="11"/>
      <c r="BG298" s="11"/>
      <c r="BH298" s="11"/>
      <c r="BI298" s="11"/>
      <c r="BJ298" s="11"/>
      <c r="BK298" s="11"/>
    </row>
    <row r="299" spans="1:63" ht="12.75">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c r="BD299" s="11"/>
      <c r="BE299" s="11"/>
      <c r="BF299" s="11"/>
      <c r="BG299" s="11"/>
      <c r="BH299" s="11"/>
      <c r="BI299" s="11"/>
      <c r="BJ299" s="11"/>
      <c r="BK299" s="11"/>
    </row>
    <row r="300" spans="1:63" ht="12.75">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c r="BD300" s="11"/>
      <c r="BE300" s="11"/>
      <c r="BF300" s="11"/>
      <c r="BG300" s="11"/>
      <c r="BH300" s="11"/>
      <c r="BI300" s="11"/>
      <c r="BJ300" s="11"/>
      <c r="BK300" s="11"/>
    </row>
    <row r="301" spans="1:63" ht="12.75">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c r="BD301" s="11"/>
      <c r="BE301" s="11"/>
      <c r="BF301" s="11"/>
      <c r="BG301" s="11"/>
      <c r="BH301" s="11"/>
      <c r="BI301" s="11"/>
      <c r="BJ301" s="11"/>
      <c r="BK301" s="11"/>
    </row>
    <row r="302" spans="1:63" ht="12.75">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c r="BD302" s="11"/>
      <c r="BE302" s="11"/>
      <c r="BF302" s="11"/>
      <c r="BG302" s="11"/>
      <c r="BH302" s="11"/>
      <c r="BI302" s="11"/>
      <c r="BJ302" s="11"/>
      <c r="BK302" s="11"/>
    </row>
    <row r="303" spans="1:63" ht="12.75">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c r="BD303" s="11"/>
      <c r="BE303" s="11"/>
      <c r="BF303" s="11"/>
      <c r="BG303" s="11"/>
      <c r="BH303" s="11"/>
      <c r="BI303" s="11"/>
      <c r="BJ303" s="11"/>
      <c r="BK303" s="11"/>
    </row>
    <row r="304" spans="1:63" ht="12.75">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c r="BD304" s="11"/>
      <c r="BE304" s="11"/>
      <c r="BF304" s="11"/>
      <c r="BG304" s="11"/>
      <c r="BH304" s="11"/>
      <c r="BI304" s="11"/>
      <c r="BJ304" s="11"/>
      <c r="BK304" s="11"/>
    </row>
    <row r="305" spans="1:63" ht="12.7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c r="BD305" s="11"/>
      <c r="BE305" s="11"/>
      <c r="BF305" s="11"/>
      <c r="BG305" s="11"/>
      <c r="BH305" s="11"/>
      <c r="BI305" s="11"/>
      <c r="BJ305" s="11"/>
      <c r="BK305" s="11"/>
    </row>
    <row r="306" spans="1:63" ht="12.75">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c r="BD306" s="11"/>
      <c r="BE306" s="11"/>
      <c r="BF306" s="11"/>
      <c r="BG306" s="11"/>
      <c r="BH306" s="11"/>
      <c r="BI306" s="11"/>
      <c r="BJ306" s="11"/>
      <c r="BK306" s="11"/>
    </row>
    <row r="307" spans="1:63" ht="12.75">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c r="BD307" s="11"/>
      <c r="BE307" s="11"/>
      <c r="BF307" s="11"/>
      <c r="BG307" s="11"/>
      <c r="BH307" s="11"/>
      <c r="BI307" s="11"/>
      <c r="BJ307" s="11"/>
      <c r="BK307" s="11"/>
    </row>
    <row r="308" spans="1:63" ht="12.75">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c r="BD308" s="11"/>
      <c r="BE308" s="11"/>
      <c r="BF308" s="11"/>
      <c r="BG308" s="11"/>
      <c r="BH308" s="11"/>
      <c r="BI308" s="11"/>
      <c r="BJ308" s="11"/>
      <c r="BK308" s="11"/>
    </row>
    <row r="309" spans="1:63" ht="12.75">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c r="BD309" s="11"/>
      <c r="BE309" s="11"/>
      <c r="BF309" s="11"/>
      <c r="BG309" s="11"/>
      <c r="BH309" s="11"/>
      <c r="BI309" s="11"/>
      <c r="BJ309" s="11"/>
      <c r="BK309" s="11"/>
    </row>
    <row r="310" spans="1:63" ht="12.75">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c r="BD310" s="11"/>
      <c r="BE310" s="11"/>
      <c r="BF310" s="11"/>
      <c r="BG310" s="11"/>
      <c r="BH310" s="11"/>
      <c r="BI310" s="11"/>
      <c r="BJ310" s="11"/>
      <c r="BK310" s="11"/>
    </row>
    <row r="311" spans="1:63" ht="12.75">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c r="BD311" s="11"/>
      <c r="BE311" s="11"/>
      <c r="BF311" s="11"/>
      <c r="BG311" s="11"/>
      <c r="BH311" s="11"/>
      <c r="BI311" s="11"/>
      <c r="BJ311" s="11"/>
      <c r="BK311" s="11"/>
    </row>
    <row r="312" spans="1:63" ht="12.75">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c r="BD312" s="11"/>
      <c r="BE312" s="11"/>
      <c r="BF312" s="11"/>
      <c r="BG312" s="11"/>
      <c r="BH312" s="11"/>
      <c r="BI312" s="11"/>
      <c r="BJ312" s="11"/>
      <c r="BK312" s="11"/>
    </row>
    <row r="313" spans="1:63" ht="12.75">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c r="BD313" s="11"/>
      <c r="BE313" s="11"/>
      <c r="BF313" s="11"/>
      <c r="BG313" s="11"/>
      <c r="BH313" s="11"/>
      <c r="BI313" s="11"/>
      <c r="BJ313" s="11"/>
      <c r="BK313" s="11"/>
    </row>
    <row r="314" spans="1:63" ht="12.75">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c r="BD314" s="11"/>
      <c r="BE314" s="11"/>
      <c r="BF314" s="11"/>
      <c r="BG314" s="11"/>
      <c r="BH314" s="11"/>
      <c r="BI314" s="11"/>
      <c r="BJ314" s="11"/>
      <c r="BK314" s="11"/>
    </row>
    <row r="315" spans="1:63" ht="12.7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c r="BD315" s="11"/>
      <c r="BE315" s="11"/>
      <c r="BF315" s="11"/>
      <c r="BG315" s="11"/>
      <c r="BH315" s="11"/>
      <c r="BI315" s="11"/>
      <c r="BJ315" s="11"/>
      <c r="BK315" s="11"/>
    </row>
    <row r="316" spans="1:63" ht="12.75">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row>
    <row r="317" spans="1:63" ht="12.75">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c r="BD317" s="11"/>
      <c r="BE317" s="11"/>
      <c r="BF317" s="11"/>
      <c r="BG317" s="11"/>
      <c r="BH317" s="11"/>
      <c r="BI317" s="11"/>
      <c r="BJ317" s="11"/>
      <c r="BK317" s="11"/>
    </row>
    <row r="318" spans="1:63" ht="12.75">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c r="BD318" s="11"/>
      <c r="BE318" s="11"/>
      <c r="BF318" s="11"/>
      <c r="BG318" s="11"/>
      <c r="BH318" s="11"/>
      <c r="BI318" s="11"/>
      <c r="BJ318" s="11"/>
      <c r="BK318" s="11"/>
    </row>
    <row r="319" spans="1:63" ht="12.75">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c r="BD319" s="11"/>
      <c r="BE319" s="11"/>
      <c r="BF319" s="11"/>
      <c r="BG319" s="11"/>
      <c r="BH319" s="11"/>
      <c r="BI319" s="11"/>
      <c r="BJ319" s="11"/>
      <c r="BK319" s="11"/>
    </row>
    <row r="320" spans="1:63" ht="12.75">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c r="BD320" s="11"/>
      <c r="BE320" s="11"/>
      <c r="BF320" s="11"/>
      <c r="BG320" s="11"/>
      <c r="BH320" s="11"/>
      <c r="BI320" s="11"/>
      <c r="BJ320" s="11"/>
      <c r="BK320" s="11"/>
    </row>
    <row r="321" spans="1:63" ht="12.75">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c r="BD321" s="11"/>
      <c r="BE321" s="11"/>
      <c r="BF321" s="11"/>
      <c r="BG321" s="11"/>
      <c r="BH321" s="11"/>
      <c r="BI321" s="11"/>
      <c r="BJ321" s="11"/>
      <c r="BK321" s="11"/>
    </row>
    <row r="322" spans="1:63" ht="12.75">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c r="BD322" s="11"/>
      <c r="BE322" s="11"/>
      <c r="BF322" s="11"/>
      <c r="BG322" s="11"/>
      <c r="BH322" s="11"/>
      <c r="BI322" s="11"/>
      <c r="BJ322" s="11"/>
      <c r="BK322" s="11"/>
    </row>
    <row r="323" spans="1:63" ht="12.75">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c r="BD323" s="11"/>
      <c r="BE323" s="11"/>
      <c r="BF323" s="11"/>
      <c r="BG323" s="11"/>
      <c r="BH323" s="11"/>
      <c r="BI323" s="11"/>
      <c r="BJ323" s="11"/>
      <c r="BK323" s="11"/>
    </row>
    <row r="324" spans="1:63" ht="12.75">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c r="BD324" s="11"/>
      <c r="BE324" s="11"/>
      <c r="BF324" s="11"/>
      <c r="BG324" s="11"/>
      <c r="BH324" s="11"/>
      <c r="BI324" s="11"/>
      <c r="BJ324" s="11"/>
      <c r="BK324" s="11"/>
    </row>
    <row r="325" spans="1:63" ht="12.7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c r="BD325" s="11"/>
      <c r="BE325" s="11"/>
      <c r="BF325" s="11"/>
      <c r="BG325" s="11"/>
      <c r="BH325" s="11"/>
      <c r="BI325" s="11"/>
      <c r="BJ325" s="11"/>
      <c r="BK325" s="11"/>
    </row>
    <row r="326" spans="1:63" ht="12.75">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c r="BD326" s="11"/>
      <c r="BE326" s="11"/>
      <c r="BF326" s="11"/>
      <c r="BG326" s="11"/>
      <c r="BH326" s="11"/>
      <c r="BI326" s="11"/>
      <c r="BJ326" s="11"/>
      <c r="BK326" s="11"/>
    </row>
    <row r="327" spans="1:63" ht="12.75">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c r="BD327" s="11"/>
      <c r="BE327" s="11"/>
      <c r="BF327" s="11"/>
      <c r="BG327" s="11"/>
      <c r="BH327" s="11"/>
      <c r="BI327" s="11"/>
      <c r="BJ327" s="11"/>
      <c r="BK327" s="11"/>
    </row>
    <row r="328" spans="1:63" ht="12.75">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c r="BD328" s="11"/>
      <c r="BE328" s="11"/>
      <c r="BF328" s="11"/>
      <c r="BG328" s="11"/>
      <c r="BH328" s="11"/>
      <c r="BI328" s="11"/>
      <c r="BJ328" s="11"/>
      <c r="BK328" s="11"/>
    </row>
    <row r="329" spans="1:63" ht="12.75">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c r="BD329" s="11"/>
      <c r="BE329" s="11"/>
      <c r="BF329" s="11"/>
      <c r="BG329" s="11"/>
      <c r="BH329" s="11"/>
      <c r="BI329" s="11"/>
      <c r="BJ329" s="11"/>
      <c r="BK329" s="11"/>
    </row>
    <row r="330" spans="1:63" ht="12.75">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c r="BD330" s="11"/>
      <c r="BE330" s="11"/>
      <c r="BF330" s="11"/>
      <c r="BG330" s="11"/>
      <c r="BH330" s="11"/>
      <c r="BI330" s="11"/>
      <c r="BJ330" s="11"/>
      <c r="BK330" s="11"/>
    </row>
    <row r="331" spans="1:63" ht="12.75">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c r="BD331" s="11"/>
      <c r="BE331" s="11"/>
      <c r="BF331" s="11"/>
      <c r="BG331" s="11"/>
      <c r="BH331" s="11"/>
      <c r="BI331" s="11"/>
      <c r="BJ331" s="11"/>
      <c r="BK331" s="11"/>
    </row>
    <row r="332" spans="1:63" ht="12.75">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c r="BD332" s="11"/>
      <c r="BE332" s="11"/>
      <c r="BF332" s="11"/>
      <c r="BG332" s="11"/>
      <c r="BH332" s="11"/>
      <c r="BI332" s="11"/>
      <c r="BJ332" s="11"/>
      <c r="BK332" s="11"/>
    </row>
    <row r="333" spans="1:63" ht="12.75">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c r="BD333" s="11"/>
      <c r="BE333" s="11"/>
      <c r="BF333" s="11"/>
      <c r="BG333" s="11"/>
      <c r="BH333" s="11"/>
      <c r="BI333" s="11"/>
      <c r="BJ333" s="11"/>
      <c r="BK333" s="11"/>
    </row>
    <row r="334" spans="1:63" ht="12.75">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c r="BD334" s="11"/>
      <c r="BE334" s="11"/>
      <c r="BF334" s="11"/>
      <c r="BG334" s="11"/>
      <c r="BH334" s="11"/>
      <c r="BI334" s="11"/>
      <c r="BJ334" s="11"/>
      <c r="BK334" s="11"/>
    </row>
    <row r="335" spans="1:63" ht="12.7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c r="BD335" s="11"/>
      <c r="BE335" s="11"/>
      <c r="BF335" s="11"/>
      <c r="BG335" s="11"/>
      <c r="BH335" s="11"/>
      <c r="BI335" s="11"/>
      <c r="BJ335" s="11"/>
      <c r="BK335" s="11"/>
    </row>
    <row r="336" spans="1:63" ht="12.75">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c r="BD336" s="11"/>
      <c r="BE336" s="11"/>
      <c r="BF336" s="11"/>
      <c r="BG336" s="11"/>
      <c r="BH336" s="11"/>
      <c r="BI336" s="11"/>
      <c r="BJ336" s="11"/>
      <c r="BK336" s="11"/>
    </row>
    <row r="337" spans="1:63" ht="12.75">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c r="BD337" s="11"/>
      <c r="BE337" s="11"/>
      <c r="BF337" s="11"/>
      <c r="BG337" s="11"/>
      <c r="BH337" s="11"/>
      <c r="BI337" s="11"/>
      <c r="BJ337" s="11"/>
      <c r="BK337" s="11"/>
    </row>
    <row r="338" spans="1:63" ht="12.75">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c r="BD338" s="11"/>
      <c r="BE338" s="11"/>
      <c r="BF338" s="11"/>
      <c r="BG338" s="11"/>
      <c r="BH338" s="11"/>
      <c r="BI338" s="11"/>
      <c r="BJ338" s="11"/>
      <c r="BK338" s="11"/>
    </row>
    <row r="339" spans="1:63" ht="12.75">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c r="BD339" s="11"/>
      <c r="BE339" s="11"/>
      <c r="BF339" s="11"/>
      <c r="BG339" s="11"/>
      <c r="BH339" s="11"/>
      <c r="BI339" s="11"/>
      <c r="BJ339" s="11"/>
      <c r="BK339" s="11"/>
    </row>
    <row r="340" spans="1:63" ht="12.75">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c r="BD340" s="11"/>
      <c r="BE340" s="11"/>
      <c r="BF340" s="11"/>
      <c r="BG340" s="11"/>
      <c r="BH340" s="11"/>
      <c r="BI340" s="11"/>
      <c r="BJ340" s="11"/>
      <c r="BK340" s="11"/>
    </row>
    <row r="341" spans="1:63" ht="12.75">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c r="BD341" s="11"/>
      <c r="BE341" s="11"/>
      <c r="BF341" s="11"/>
      <c r="BG341" s="11"/>
      <c r="BH341" s="11"/>
      <c r="BI341" s="11"/>
      <c r="BJ341" s="11"/>
      <c r="BK341" s="11"/>
    </row>
    <row r="342" spans="1:63" ht="12.75">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c r="BD342" s="11"/>
      <c r="BE342" s="11"/>
      <c r="BF342" s="11"/>
      <c r="BG342" s="11"/>
      <c r="BH342" s="11"/>
      <c r="BI342" s="11"/>
      <c r="BJ342" s="11"/>
      <c r="BK342" s="11"/>
    </row>
    <row r="343" spans="1:63" ht="12.75">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row>
    <row r="344" spans="1:63" ht="12.75">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c r="BD344" s="11"/>
      <c r="BE344" s="11"/>
      <c r="BF344" s="11"/>
      <c r="BG344" s="11"/>
      <c r="BH344" s="11"/>
      <c r="BI344" s="11"/>
      <c r="BJ344" s="11"/>
      <c r="BK344" s="11"/>
    </row>
    <row r="345" spans="1:63" ht="12.7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c r="BD345" s="11"/>
      <c r="BE345" s="11"/>
      <c r="BF345" s="11"/>
      <c r="BG345" s="11"/>
      <c r="BH345" s="11"/>
      <c r="BI345" s="11"/>
      <c r="BJ345" s="11"/>
      <c r="BK345" s="11"/>
    </row>
    <row r="346" spans="1:63" ht="12.75">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c r="BD346" s="11"/>
      <c r="BE346" s="11"/>
      <c r="BF346" s="11"/>
      <c r="BG346" s="11"/>
      <c r="BH346" s="11"/>
      <c r="BI346" s="11"/>
      <c r="BJ346" s="11"/>
      <c r="BK346" s="11"/>
    </row>
    <row r="347" spans="1:63" ht="12.75">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row>
    <row r="348" spans="1:63" ht="12.75">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row>
    <row r="349" spans="1:63" ht="12.75">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c r="BD349" s="11"/>
      <c r="BE349" s="11"/>
      <c r="BF349" s="11"/>
      <c r="BG349" s="11"/>
      <c r="BH349" s="11"/>
      <c r="BI349" s="11"/>
      <c r="BJ349" s="11"/>
      <c r="BK349" s="11"/>
    </row>
    <row r="350" spans="1:63" ht="12.75">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c r="BD350" s="11"/>
      <c r="BE350" s="11"/>
      <c r="BF350" s="11"/>
      <c r="BG350" s="11"/>
      <c r="BH350" s="11"/>
      <c r="BI350" s="11"/>
      <c r="BJ350" s="11"/>
      <c r="BK350" s="11"/>
    </row>
    <row r="351" spans="1:63" ht="12.75">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c r="BD351" s="11"/>
      <c r="BE351" s="11"/>
      <c r="BF351" s="11"/>
      <c r="BG351" s="11"/>
      <c r="BH351" s="11"/>
      <c r="BI351" s="11"/>
      <c r="BJ351" s="11"/>
      <c r="BK351" s="11"/>
    </row>
    <row r="352" spans="1:63" ht="12.75">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c r="BD352" s="11"/>
      <c r="BE352" s="11"/>
      <c r="BF352" s="11"/>
      <c r="BG352" s="11"/>
      <c r="BH352" s="11"/>
      <c r="BI352" s="11"/>
      <c r="BJ352" s="11"/>
      <c r="BK352" s="11"/>
    </row>
    <row r="353" spans="1:63" ht="12.75">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c r="BD353" s="11"/>
      <c r="BE353" s="11"/>
      <c r="BF353" s="11"/>
      <c r="BG353" s="11"/>
      <c r="BH353" s="11"/>
      <c r="BI353" s="11"/>
      <c r="BJ353" s="11"/>
      <c r="BK353" s="11"/>
    </row>
    <row r="354" spans="1:63" ht="12.75">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c r="BD354" s="11"/>
      <c r="BE354" s="11"/>
      <c r="BF354" s="11"/>
      <c r="BG354" s="11"/>
      <c r="BH354" s="11"/>
      <c r="BI354" s="11"/>
      <c r="BJ354" s="11"/>
      <c r="BK354" s="11"/>
    </row>
    <row r="355" spans="1:63" ht="12.7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c r="BC355" s="11"/>
      <c r="BD355" s="11"/>
      <c r="BE355" s="11"/>
      <c r="BF355" s="11"/>
      <c r="BG355" s="11"/>
      <c r="BH355" s="11"/>
      <c r="BI355" s="11"/>
      <c r="BJ355" s="11"/>
      <c r="BK355" s="11"/>
    </row>
    <row r="356" spans="1:63" ht="12.75">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c r="BC356" s="11"/>
      <c r="BD356" s="11"/>
      <c r="BE356" s="11"/>
      <c r="BF356" s="11"/>
      <c r="BG356" s="11"/>
      <c r="BH356" s="11"/>
      <c r="BI356" s="11"/>
      <c r="BJ356" s="11"/>
      <c r="BK356" s="11"/>
    </row>
    <row r="357" spans="1:63" ht="12.75">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c r="BC357" s="11"/>
      <c r="BD357" s="11"/>
      <c r="BE357" s="11"/>
      <c r="BF357" s="11"/>
      <c r="BG357" s="11"/>
      <c r="BH357" s="11"/>
      <c r="BI357" s="11"/>
      <c r="BJ357" s="11"/>
      <c r="BK357" s="11"/>
    </row>
    <row r="358" spans="1:63" ht="12.75">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c r="BC358" s="11"/>
      <c r="BD358" s="11"/>
      <c r="BE358" s="11"/>
      <c r="BF358" s="11"/>
      <c r="BG358" s="11"/>
      <c r="BH358" s="11"/>
      <c r="BI358" s="11"/>
      <c r="BJ358" s="11"/>
      <c r="BK358" s="11"/>
    </row>
    <row r="359" spans="1:63" ht="12.75">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c r="BC359" s="11"/>
      <c r="BD359" s="11"/>
      <c r="BE359" s="11"/>
      <c r="BF359" s="11"/>
      <c r="BG359" s="11"/>
      <c r="BH359" s="11"/>
      <c r="BI359" s="11"/>
      <c r="BJ359" s="11"/>
      <c r="BK359" s="11"/>
    </row>
    <row r="360" spans="1:63" ht="12.75">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c r="BC360" s="11"/>
      <c r="BD360" s="11"/>
      <c r="BE360" s="11"/>
      <c r="BF360" s="11"/>
      <c r="BG360" s="11"/>
      <c r="BH360" s="11"/>
      <c r="BI360" s="11"/>
      <c r="BJ360" s="11"/>
      <c r="BK360" s="11"/>
    </row>
    <row r="361" spans="1:63" ht="12.75">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c r="BC361" s="11"/>
      <c r="BD361" s="11"/>
      <c r="BE361" s="11"/>
      <c r="BF361" s="11"/>
      <c r="BG361" s="11"/>
      <c r="BH361" s="11"/>
      <c r="BI361" s="11"/>
      <c r="BJ361" s="11"/>
      <c r="BK361" s="11"/>
    </row>
    <row r="362" spans="1:63" ht="12.75">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c r="BC362" s="11"/>
      <c r="BD362" s="11"/>
      <c r="BE362" s="11"/>
      <c r="BF362" s="11"/>
      <c r="BG362" s="11"/>
      <c r="BH362" s="11"/>
      <c r="BI362" s="11"/>
      <c r="BJ362" s="11"/>
      <c r="BK362" s="11"/>
    </row>
    <row r="363" spans="1:63" ht="12.75">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c r="BC363" s="11"/>
      <c r="BD363" s="11"/>
      <c r="BE363" s="11"/>
      <c r="BF363" s="11"/>
      <c r="BG363" s="11"/>
      <c r="BH363" s="11"/>
      <c r="BI363" s="11"/>
      <c r="BJ363" s="11"/>
      <c r="BK363" s="11"/>
    </row>
    <row r="364" spans="1:63" ht="12.75">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c r="BC364" s="11"/>
      <c r="BD364" s="11"/>
      <c r="BE364" s="11"/>
      <c r="BF364" s="11"/>
      <c r="BG364" s="11"/>
      <c r="BH364" s="11"/>
      <c r="BI364" s="11"/>
      <c r="BJ364" s="11"/>
      <c r="BK364" s="11"/>
    </row>
    <row r="365" spans="1:63" ht="12.7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c r="BC365" s="11"/>
      <c r="BD365" s="11"/>
      <c r="BE365" s="11"/>
      <c r="BF365" s="11"/>
      <c r="BG365" s="11"/>
      <c r="BH365" s="11"/>
      <c r="BI365" s="11"/>
      <c r="BJ365" s="11"/>
      <c r="BK365" s="11"/>
    </row>
    <row r="366" spans="1:63" ht="12.75">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c r="BC366" s="11"/>
      <c r="BD366" s="11"/>
      <c r="BE366" s="11"/>
      <c r="BF366" s="11"/>
      <c r="BG366" s="11"/>
      <c r="BH366" s="11"/>
      <c r="BI366" s="11"/>
      <c r="BJ366" s="11"/>
      <c r="BK366" s="11"/>
    </row>
    <row r="367" spans="1:63" ht="12.75">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c r="BC367" s="11"/>
      <c r="BD367" s="11"/>
      <c r="BE367" s="11"/>
      <c r="BF367" s="11"/>
      <c r="BG367" s="11"/>
      <c r="BH367" s="11"/>
      <c r="BI367" s="11"/>
      <c r="BJ367" s="11"/>
      <c r="BK367" s="11"/>
    </row>
    <row r="368" spans="1:63" ht="12.75">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c r="BC368" s="11"/>
      <c r="BD368" s="11"/>
      <c r="BE368" s="11"/>
      <c r="BF368" s="11"/>
      <c r="BG368" s="11"/>
      <c r="BH368" s="11"/>
      <c r="BI368" s="11"/>
      <c r="BJ368" s="11"/>
      <c r="BK368" s="11"/>
    </row>
    <row r="369" spans="1:63" ht="12.75">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c r="BC369" s="11"/>
      <c r="BD369" s="11"/>
      <c r="BE369" s="11"/>
      <c r="BF369" s="11"/>
      <c r="BG369" s="11"/>
      <c r="BH369" s="11"/>
      <c r="BI369" s="11"/>
      <c r="BJ369" s="11"/>
      <c r="BK369" s="11"/>
    </row>
    <row r="370" spans="1:63" ht="12.75">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c r="BC370" s="11"/>
      <c r="BD370" s="11"/>
      <c r="BE370" s="11"/>
      <c r="BF370" s="11"/>
      <c r="BG370" s="11"/>
      <c r="BH370" s="11"/>
      <c r="BI370" s="11"/>
      <c r="BJ370" s="11"/>
      <c r="BK370" s="11"/>
    </row>
    <row r="371" spans="1:63" ht="12.75">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c r="BC371" s="11"/>
      <c r="BD371" s="11"/>
      <c r="BE371" s="11"/>
      <c r="BF371" s="11"/>
      <c r="BG371" s="11"/>
      <c r="BH371" s="11"/>
      <c r="BI371" s="11"/>
      <c r="BJ371" s="11"/>
      <c r="BK371" s="11"/>
    </row>
    <row r="372" spans="1:63" ht="12.75">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row>
    <row r="373" spans="1:63" ht="12.75">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c r="BC373" s="11"/>
      <c r="BD373" s="11"/>
      <c r="BE373" s="11"/>
      <c r="BF373" s="11"/>
      <c r="BG373" s="11"/>
      <c r="BH373" s="11"/>
      <c r="BI373" s="11"/>
      <c r="BJ373" s="11"/>
      <c r="BK373" s="11"/>
    </row>
    <row r="374" spans="1:63" ht="12.75">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c r="BC374" s="11"/>
      <c r="BD374" s="11"/>
      <c r="BE374" s="11"/>
      <c r="BF374" s="11"/>
      <c r="BG374" s="11"/>
      <c r="BH374" s="11"/>
      <c r="BI374" s="11"/>
      <c r="BJ374" s="11"/>
      <c r="BK374" s="11"/>
    </row>
    <row r="375" spans="1:63" ht="12.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c r="BC375" s="11"/>
      <c r="BD375" s="11"/>
      <c r="BE375" s="11"/>
      <c r="BF375" s="11"/>
      <c r="BG375" s="11"/>
      <c r="BH375" s="11"/>
      <c r="BI375" s="11"/>
      <c r="BJ375" s="11"/>
      <c r="BK375" s="11"/>
    </row>
    <row r="376" spans="1:63" ht="12.75">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c r="BC376" s="11"/>
      <c r="BD376" s="11"/>
      <c r="BE376" s="11"/>
      <c r="BF376" s="11"/>
      <c r="BG376" s="11"/>
      <c r="BH376" s="11"/>
      <c r="BI376" s="11"/>
      <c r="BJ376" s="11"/>
      <c r="BK376" s="11"/>
    </row>
    <row r="377" spans="1:63" ht="12.75">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c r="BC377" s="11"/>
      <c r="BD377" s="11"/>
      <c r="BE377" s="11"/>
      <c r="BF377" s="11"/>
      <c r="BG377" s="11"/>
      <c r="BH377" s="11"/>
      <c r="BI377" s="11"/>
      <c r="BJ377" s="11"/>
      <c r="BK377" s="11"/>
    </row>
    <row r="378" spans="1:63" ht="12.75">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c r="BC378" s="11"/>
      <c r="BD378" s="11"/>
      <c r="BE378" s="11"/>
      <c r="BF378" s="11"/>
      <c r="BG378" s="11"/>
      <c r="BH378" s="11"/>
      <c r="BI378" s="11"/>
      <c r="BJ378" s="11"/>
      <c r="BK378" s="11"/>
    </row>
    <row r="379" spans="1:63" ht="12.75">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c r="BC379" s="11"/>
      <c r="BD379" s="11"/>
      <c r="BE379" s="11"/>
      <c r="BF379" s="11"/>
      <c r="BG379" s="11"/>
      <c r="BH379" s="11"/>
      <c r="BI379" s="11"/>
      <c r="BJ379" s="11"/>
      <c r="BK379" s="11"/>
    </row>
    <row r="380" spans="1:63" ht="12.75">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c r="BC380" s="11"/>
      <c r="BD380" s="11"/>
      <c r="BE380" s="11"/>
      <c r="BF380" s="11"/>
      <c r="BG380" s="11"/>
      <c r="BH380" s="11"/>
      <c r="BI380" s="11"/>
      <c r="BJ380" s="11"/>
      <c r="BK380" s="11"/>
    </row>
    <row r="381" spans="1:63" ht="12.75">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row>
    <row r="382" spans="1:63" ht="12.75">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c r="BC382" s="11"/>
      <c r="BD382" s="11"/>
      <c r="BE382" s="11"/>
      <c r="BF382" s="11"/>
      <c r="BG382" s="11"/>
      <c r="BH382" s="11"/>
      <c r="BI382" s="11"/>
      <c r="BJ382" s="11"/>
      <c r="BK382" s="11"/>
    </row>
    <row r="383" spans="1:63" ht="12.75">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c r="BC383" s="11"/>
      <c r="BD383" s="11"/>
      <c r="BE383" s="11"/>
      <c r="BF383" s="11"/>
      <c r="BG383" s="11"/>
      <c r="BH383" s="11"/>
      <c r="BI383" s="11"/>
      <c r="BJ383" s="11"/>
      <c r="BK383" s="11"/>
    </row>
    <row r="384" spans="1:63" ht="12.75">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c r="BC384" s="11"/>
      <c r="BD384" s="11"/>
      <c r="BE384" s="11"/>
      <c r="BF384" s="11"/>
      <c r="BG384" s="11"/>
      <c r="BH384" s="11"/>
      <c r="BI384" s="11"/>
      <c r="BJ384" s="11"/>
      <c r="BK384" s="11"/>
    </row>
    <row r="385" spans="1:63" ht="12.7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c r="BC385" s="11"/>
      <c r="BD385" s="11"/>
      <c r="BE385" s="11"/>
      <c r="BF385" s="11"/>
      <c r="BG385" s="11"/>
      <c r="BH385" s="11"/>
      <c r="BI385" s="11"/>
      <c r="BJ385" s="11"/>
      <c r="BK385" s="11"/>
    </row>
    <row r="386" spans="1:63" ht="12.75">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c r="BC386" s="11"/>
      <c r="BD386" s="11"/>
      <c r="BE386" s="11"/>
      <c r="BF386" s="11"/>
      <c r="BG386" s="11"/>
      <c r="BH386" s="11"/>
      <c r="BI386" s="11"/>
      <c r="BJ386" s="11"/>
      <c r="BK386" s="11"/>
    </row>
    <row r="387" spans="1:63" ht="12.75">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c r="BC387" s="11"/>
      <c r="BD387" s="11"/>
      <c r="BE387" s="11"/>
      <c r="BF387" s="11"/>
      <c r="BG387" s="11"/>
      <c r="BH387" s="11"/>
      <c r="BI387" s="11"/>
      <c r="BJ387" s="11"/>
      <c r="BK387" s="11"/>
    </row>
    <row r="388" spans="1:63" ht="12.75">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c r="BC388" s="11"/>
      <c r="BD388" s="11"/>
      <c r="BE388" s="11"/>
      <c r="BF388" s="11"/>
      <c r="BG388" s="11"/>
      <c r="BH388" s="11"/>
      <c r="BI388" s="11"/>
      <c r="BJ388" s="11"/>
      <c r="BK388" s="11"/>
    </row>
    <row r="389" spans="1:63" ht="12.75">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c r="BC389" s="11"/>
      <c r="BD389" s="11"/>
      <c r="BE389" s="11"/>
      <c r="BF389" s="11"/>
      <c r="BG389" s="11"/>
      <c r="BH389" s="11"/>
      <c r="BI389" s="11"/>
      <c r="BJ389" s="11"/>
      <c r="BK389" s="11"/>
    </row>
    <row r="390" spans="1:63" ht="12.75">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c r="BC390" s="11"/>
      <c r="BD390" s="11"/>
      <c r="BE390" s="11"/>
      <c r="BF390" s="11"/>
      <c r="BG390" s="11"/>
      <c r="BH390" s="11"/>
      <c r="BI390" s="11"/>
      <c r="BJ390" s="11"/>
      <c r="BK390" s="11"/>
    </row>
    <row r="391" spans="1:63" ht="12.75">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c r="BC391" s="11"/>
      <c r="BD391" s="11"/>
      <c r="BE391" s="11"/>
      <c r="BF391" s="11"/>
      <c r="BG391" s="11"/>
      <c r="BH391" s="11"/>
      <c r="BI391" s="11"/>
      <c r="BJ391" s="11"/>
      <c r="BK391" s="11"/>
    </row>
    <row r="392" spans="1:63" ht="12.75">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c r="BC392" s="11"/>
      <c r="BD392" s="11"/>
      <c r="BE392" s="11"/>
      <c r="BF392" s="11"/>
      <c r="BG392" s="11"/>
      <c r="BH392" s="11"/>
      <c r="BI392" s="11"/>
      <c r="BJ392" s="11"/>
      <c r="BK392" s="11"/>
    </row>
    <row r="393" spans="1:63" ht="12.75">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c r="BC393" s="11"/>
      <c r="BD393" s="11"/>
      <c r="BE393" s="11"/>
      <c r="BF393" s="11"/>
      <c r="BG393" s="11"/>
      <c r="BH393" s="11"/>
      <c r="BI393" s="11"/>
      <c r="BJ393" s="11"/>
      <c r="BK393" s="11"/>
    </row>
    <row r="394" spans="1:63" ht="12.75">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c r="BC394" s="11"/>
      <c r="BD394" s="11"/>
      <c r="BE394" s="11"/>
      <c r="BF394" s="11"/>
      <c r="BG394" s="11"/>
      <c r="BH394" s="11"/>
      <c r="BI394" s="11"/>
      <c r="BJ394" s="11"/>
      <c r="BK394" s="11"/>
    </row>
    <row r="395" spans="1:63" ht="12.7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c r="BC395" s="11"/>
      <c r="BD395" s="11"/>
      <c r="BE395" s="11"/>
      <c r="BF395" s="11"/>
      <c r="BG395" s="11"/>
      <c r="BH395" s="11"/>
      <c r="BI395" s="11"/>
      <c r="BJ395" s="11"/>
      <c r="BK395" s="11"/>
    </row>
    <row r="396" spans="1:63" ht="12.75">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c r="BC396" s="11"/>
      <c r="BD396" s="11"/>
      <c r="BE396" s="11"/>
      <c r="BF396" s="11"/>
      <c r="BG396" s="11"/>
      <c r="BH396" s="11"/>
      <c r="BI396" s="11"/>
      <c r="BJ396" s="11"/>
      <c r="BK396" s="11"/>
    </row>
    <row r="397" spans="1:63" ht="12.75">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c r="BC397" s="11"/>
      <c r="BD397" s="11"/>
      <c r="BE397" s="11"/>
      <c r="BF397" s="11"/>
      <c r="BG397" s="11"/>
      <c r="BH397" s="11"/>
      <c r="BI397" s="11"/>
      <c r="BJ397" s="11"/>
      <c r="BK397" s="11"/>
    </row>
    <row r="398" spans="1:63" ht="12.75">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c r="BC398" s="11"/>
      <c r="BD398" s="11"/>
      <c r="BE398" s="11"/>
      <c r="BF398" s="11"/>
      <c r="BG398" s="11"/>
      <c r="BH398" s="11"/>
      <c r="BI398" s="11"/>
      <c r="BJ398" s="11"/>
      <c r="BK398" s="11"/>
    </row>
    <row r="399" spans="1:63" ht="12.75">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c r="BC399" s="11"/>
      <c r="BD399" s="11"/>
      <c r="BE399" s="11"/>
      <c r="BF399" s="11"/>
      <c r="BG399" s="11"/>
      <c r="BH399" s="11"/>
      <c r="BI399" s="11"/>
      <c r="BJ399" s="11"/>
      <c r="BK399" s="11"/>
    </row>
    <row r="400" spans="1:63" ht="12.75">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c r="BC400" s="11"/>
      <c r="BD400" s="11"/>
      <c r="BE400" s="11"/>
      <c r="BF400" s="11"/>
      <c r="BG400" s="11"/>
      <c r="BH400" s="11"/>
      <c r="BI400" s="11"/>
      <c r="BJ400" s="11"/>
      <c r="BK400" s="11"/>
    </row>
    <row r="401" spans="1:63" ht="12.75">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c r="BC401" s="11"/>
      <c r="BD401" s="11"/>
      <c r="BE401" s="11"/>
      <c r="BF401" s="11"/>
      <c r="BG401" s="11"/>
      <c r="BH401" s="11"/>
      <c r="BI401" s="11"/>
      <c r="BJ401" s="11"/>
      <c r="BK401" s="11"/>
    </row>
    <row r="402" spans="1:63" ht="12.75">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c r="BC402" s="11"/>
      <c r="BD402" s="11"/>
      <c r="BE402" s="11"/>
      <c r="BF402" s="11"/>
      <c r="BG402" s="11"/>
      <c r="BH402" s="11"/>
      <c r="BI402" s="11"/>
      <c r="BJ402" s="11"/>
      <c r="BK402" s="11"/>
    </row>
    <row r="403" spans="1:63" ht="12.75">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c r="BC403" s="11"/>
      <c r="BD403" s="11"/>
      <c r="BE403" s="11"/>
      <c r="BF403" s="11"/>
      <c r="BG403" s="11"/>
      <c r="BH403" s="11"/>
      <c r="BI403" s="11"/>
      <c r="BJ403" s="11"/>
      <c r="BK403" s="11"/>
    </row>
    <row r="404" spans="1:63" ht="12.75">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c r="BC404" s="11"/>
      <c r="BD404" s="11"/>
      <c r="BE404" s="11"/>
      <c r="BF404" s="11"/>
      <c r="BG404" s="11"/>
      <c r="BH404" s="11"/>
      <c r="BI404" s="11"/>
      <c r="BJ404" s="11"/>
      <c r="BK404" s="11"/>
    </row>
    <row r="405" spans="1:63" ht="12.7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c r="BC405" s="11"/>
      <c r="BD405" s="11"/>
      <c r="BE405" s="11"/>
      <c r="BF405" s="11"/>
      <c r="BG405" s="11"/>
      <c r="BH405" s="11"/>
      <c r="BI405" s="11"/>
      <c r="BJ405" s="11"/>
      <c r="BK405" s="11"/>
    </row>
    <row r="406" spans="1:63" ht="12.75">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c r="BC406" s="11"/>
      <c r="BD406" s="11"/>
      <c r="BE406" s="11"/>
      <c r="BF406" s="11"/>
      <c r="BG406" s="11"/>
      <c r="BH406" s="11"/>
      <c r="BI406" s="11"/>
      <c r="BJ406" s="11"/>
      <c r="BK406" s="11"/>
    </row>
    <row r="407" spans="1:63" ht="12.75">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c r="BA407" s="11"/>
      <c r="BB407" s="11"/>
      <c r="BC407" s="11"/>
      <c r="BD407" s="11"/>
      <c r="BE407" s="11"/>
      <c r="BF407" s="11"/>
      <c r="BG407" s="11"/>
      <c r="BH407" s="11"/>
      <c r="BI407" s="11"/>
      <c r="BJ407" s="11"/>
      <c r="BK407" s="11"/>
    </row>
    <row r="408" spans="1:63" ht="12.75">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11"/>
      <c r="BA408" s="11"/>
      <c r="BB408" s="11"/>
      <c r="BC408" s="11"/>
      <c r="BD408" s="11"/>
      <c r="BE408" s="11"/>
      <c r="BF408" s="11"/>
      <c r="BG408" s="11"/>
      <c r="BH408" s="11"/>
      <c r="BI408" s="11"/>
      <c r="BJ408" s="11"/>
      <c r="BK408" s="11"/>
    </row>
    <row r="409" spans="1:63" ht="12.75">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11"/>
      <c r="BA409" s="11"/>
      <c r="BB409" s="11"/>
      <c r="BC409" s="11"/>
      <c r="BD409" s="11"/>
      <c r="BE409" s="11"/>
      <c r="BF409" s="11"/>
      <c r="BG409" s="11"/>
      <c r="BH409" s="11"/>
      <c r="BI409" s="11"/>
      <c r="BJ409" s="11"/>
      <c r="BK409" s="11"/>
    </row>
    <row r="410" spans="1:63" ht="12.75">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c r="BA410" s="11"/>
      <c r="BB410" s="11"/>
      <c r="BC410" s="11"/>
      <c r="BD410" s="11"/>
      <c r="BE410" s="11"/>
      <c r="BF410" s="11"/>
      <c r="BG410" s="11"/>
      <c r="BH410" s="11"/>
      <c r="BI410" s="11"/>
      <c r="BJ410" s="11"/>
      <c r="BK410" s="11"/>
    </row>
    <row r="411" spans="1:63" ht="12.75">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11"/>
      <c r="BA411" s="11"/>
      <c r="BB411" s="11"/>
      <c r="BC411" s="11"/>
      <c r="BD411" s="11"/>
      <c r="BE411" s="11"/>
      <c r="BF411" s="11"/>
      <c r="BG411" s="11"/>
      <c r="BH411" s="11"/>
      <c r="BI411" s="11"/>
      <c r="BJ411" s="11"/>
      <c r="BK411" s="11"/>
    </row>
    <row r="412" spans="1:63" ht="12.75">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c r="BC412" s="11"/>
      <c r="BD412" s="11"/>
      <c r="BE412" s="11"/>
      <c r="BF412" s="11"/>
      <c r="BG412" s="11"/>
      <c r="BH412" s="11"/>
      <c r="BI412" s="11"/>
      <c r="BJ412" s="11"/>
      <c r="BK412" s="11"/>
    </row>
    <row r="413" spans="1:63" ht="12.75">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c r="BA413" s="11"/>
      <c r="BB413" s="11"/>
      <c r="BC413" s="11"/>
      <c r="BD413" s="11"/>
      <c r="BE413" s="11"/>
      <c r="BF413" s="11"/>
      <c r="BG413" s="11"/>
      <c r="BH413" s="11"/>
      <c r="BI413" s="11"/>
      <c r="BJ413" s="11"/>
      <c r="BK413" s="11"/>
    </row>
    <row r="414" spans="1:63" ht="12.75">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11"/>
      <c r="BA414" s="11"/>
      <c r="BB414" s="11"/>
      <c r="BC414" s="11"/>
      <c r="BD414" s="11"/>
      <c r="BE414" s="11"/>
      <c r="BF414" s="11"/>
      <c r="BG414" s="11"/>
      <c r="BH414" s="11"/>
      <c r="BI414" s="11"/>
      <c r="BJ414" s="11"/>
      <c r="BK414" s="11"/>
    </row>
    <row r="415" spans="1:63" ht="12.7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11"/>
      <c r="BA415" s="11"/>
      <c r="BB415" s="11"/>
      <c r="BC415" s="11"/>
      <c r="BD415" s="11"/>
      <c r="BE415" s="11"/>
      <c r="BF415" s="11"/>
      <c r="BG415" s="11"/>
      <c r="BH415" s="11"/>
      <c r="BI415" s="11"/>
      <c r="BJ415" s="11"/>
      <c r="BK415" s="11"/>
    </row>
    <row r="416" spans="1:63" ht="12.75">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c r="BA416" s="11"/>
      <c r="BB416" s="11"/>
      <c r="BC416" s="11"/>
      <c r="BD416" s="11"/>
      <c r="BE416" s="11"/>
      <c r="BF416" s="11"/>
      <c r="BG416" s="11"/>
      <c r="BH416" s="11"/>
      <c r="BI416" s="11"/>
      <c r="BJ416" s="11"/>
      <c r="BK416" s="11"/>
    </row>
    <row r="417" spans="1:63" ht="12.75">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11"/>
      <c r="BA417" s="11"/>
      <c r="BB417" s="11"/>
      <c r="BC417" s="11"/>
      <c r="BD417" s="11"/>
      <c r="BE417" s="11"/>
      <c r="BF417" s="11"/>
      <c r="BG417" s="11"/>
      <c r="BH417" s="11"/>
      <c r="BI417" s="11"/>
      <c r="BJ417" s="11"/>
      <c r="BK417" s="11"/>
    </row>
    <row r="418" spans="1:63" ht="12.75">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c r="AQ418" s="11"/>
      <c r="AR418" s="11"/>
      <c r="AS418" s="11"/>
      <c r="AT418" s="11"/>
      <c r="AU418" s="11"/>
      <c r="AV418" s="11"/>
      <c r="AW418" s="11"/>
      <c r="AX418" s="11"/>
      <c r="AY418" s="11"/>
      <c r="AZ418" s="11"/>
      <c r="BA418" s="11"/>
      <c r="BB418" s="11"/>
      <c r="BC418" s="11"/>
      <c r="BD418" s="11"/>
      <c r="BE418" s="11"/>
      <c r="BF418" s="11"/>
      <c r="BG418" s="11"/>
      <c r="BH418" s="11"/>
      <c r="BI418" s="11"/>
      <c r="BJ418" s="11"/>
      <c r="BK418" s="11"/>
    </row>
    <row r="419" spans="1:63" ht="12.75">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11"/>
      <c r="BA419" s="11"/>
      <c r="BB419" s="11"/>
      <c r="BC419" s="11"/>
      <c r="BD419" s="11"/>
      <c r="BE419" s="11"/>
      <c r="BF419" s="11"/>
      <c r="BG419" s="11"/>
      <c r="BH419" s="11"/>
      <c r="BI419" s="11"/>
      <c r="BJ419" s="11"/>
      <c r="BK419" s="11"/>
    </row>
    <row r="420" spans="1:63" ht="12.75">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c r="AQ420" s="11"/>
      <c r="AR420" s="11"/>
      <c r="AS420" s="11"/>
      <c r="AT420" s="11"/>
      <c r="AU420" s="11"/>
      <c r="AV420" s="11"/>
      <c r="AW420" s="11"/>
      <c r="AX420" s="11"/>
      <c r="AY420" s="11"/>
      <c r="AZ420" s="11"/>
      <c r="BA420" s="11"/>
      <c r="BB420" s="11"/>
      <c r="BC420" s="11"/>
      <c r="BD420" s="11"/>
      <c r="BE420" s="11"/>
      <c r="BF420" s="11"/>
      <c r="BG420" s="11"/>
      <c r="BH420" s="11"/>
      <c r="BI420" s="11"/>
      <c r="BJ420" s="11"/>
      <c r="BK420" s="11"/>
    </row>
    <row r="421" spans="1:63" ht="12.75">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c r="AQ421" s="11"/>
      <c r="AR421" s="11"/>
      <c r="AS421" s="11"/>
      <c r="AT421" s="11"/>
      <c r="AU421" s="11"/>
      <c r="AV421" s="11"/>
      <c r="AW421" s="11"/>
      <c r="AX421" s="11"/>
      <c r="AY421" s="11"/>
      <c r="AZ421" s="11"/>
      <c r="BA421" s="11"/>
      <c r="BB421" s="11"/>
      <c r="BC421" s="11"/>
      <c r="BD421" s="11"/>
      <c r="BE421" s="11"/>
      <c r="BF421" s="11"/>
      <c r="BG421" s="11"/>
      <c r="BH421" s="11"/>
      <c r="BI421" s="11"/>
      <c r="BJ421" s="11"/>
      <c r="BK421" s="11"/>
    </row>
    <row r="422" spans="1:63" ht="12.75">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c r="AQ422" s="11"/>
      <c r="AR422" s="11"/>
      <c r="AS422" s="11"/>
      <c r="AT422" s="11"/>
      <c r="AU422" s="11"/>
      <c r="AV422" s="11"/>
      <c r="AW422" s="11"/>
      <c r="AX422" s="11"/>
      <c r="AY422" s="11"/>
      <c r="AZ422" s="11"/>
      <c r="BA422" s="11"/>
      <c r="BB422" s="11"/>
      <c r="BC422" s="11"/>
      <c r="BD422" s="11"/>
      <c r="BE422" s="11"/>
      <c r="BF422" s="11"/>
      <c r="BG422" s="11"/>
      <c r="BH422" s="11"/>
      <c r="BI422" s="11"/>
      <c r="BJ422" s="11"/>
      <c r="BK422" s="11"/>
    </row>
    <row r="423" spans="1:63" ht="12.75">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c r="AQ423" s="11"/>
      <c r="AR423" s="11"/>
      <c r="AS423" s="11"/>
      <c r="AT423" s="11"/>
      <c r="AU423" s="11"/>
      <c r="AV423" s="11"/>
      <c r="AW423" s="11"/>
      <c r="AX423" s="11"/>
      <c r="AY423" s="11"/>
      <c r="AZ423" s="11"/>
      <c r="BA423" s="11"/>
      <c r="BB423" s="11"/>
      <c r="BC423" s="11"/>
      <c r="BD423" s="11"/>
      <c r="BE423" s="11"/>
      <c r="BF423" s="11"/>
      <c r="BG423" s="11"/>
      <c r="BH423" s="11"/>
      <c r="BI423" s="11"/>
      <c r="BJ423" s="11"/>
      <c r="BK423" s="11"/>
    </row>
    <row r="424" spans="1:63" ht="12.75">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c r="AQ424" s="11"/>
      <c r="AR424" s="11"/>
      <c r="AS424" s="11"/>
      <c r="AT424" s="11"/>
      <c r="AU424" s="11"/>
      <c r="AV424" s="11"/>
      <c r="AW424" s="11"/>
      <c r="AX424" s="11"/>
      <c r="AY424" s="11"/>
      <c r="AZ424" s="11"/>
      <c r="BA424" s="11"/>
      <c r="BB424" s="11"/>
      <c r="BC424" s="11"/>
      <c r="BD424" s="11"/>
      <c r="BE424" s="11"/>
      <c r="BF424" s="11"/>
      <c r="BG424" s="11"/>
      <c r="BH424" s="11"/>
      <c r="BI424" s="11"/>
      <c r="BJ424" s="11"/>
      <c r="BK424" s="11"/>
    </row>
    <row r="425" spans="1:63" ht="12.7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11"/>
      <c r="BA425" s="11"/>
      <c r="BB425" s="11"/>
      <c r="BC425" s="11"/>
      <c r="BD425" s="11"/>
      <c r="BE425" s="11"/>
      <c r="BF425" s="11"/>
      <c r="BG425" s="11"/>
      <c r="BH425" s="11"/>
      <c r="BI425" s="11"/>
      <c r="BJ425" s="11"/>
      <c r="BK425" s="11"/>
    </row>
    <row r="426" spans="1:63" ht="12.75">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c r="AR426" s="11"/>
      <c r="AS426" s="11"/>
      <c r="AT426" s="11"/>
      <c r="AU426" s="11"/>
      <c r="AV426" s="11"/>
      <c r="AW426" s="11"/>
      <c r="AX426" s="11"/>
      <c r="AY426" s="11"/>
      <c r="AZ426" s="11"/>
      <c r="BA426" s="11"/>
      <c r="BB426" s="11"/>
      <c r="BC426" s="11"/>
      <c r="BD426" s="11"/>
      <c r="BE426" s="11"/>
      <c r="BF426" s="11"/>
      <c r="BG426" s="11"/>
      <c r="BH426" s="11"/>
      <c r="BI426" s="11"/>
      <c r="BJ426" s="11"/>
      <c r="BK426" s="11"/>
    </row>
    <row r="427" spans="1:63" ht="12.75">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11"/>
      <c r="BA427" s="11"/>
      <c r="BB427" s="11"/>
      <c r="BC427" s="11"/>
      <c r="BD427" s="11"/>
      <c r="BE427" s="11"/>
      <c r="BF427" s="11"/>
      <c r="BG427" s="11"/>
      <c r="BH427" s="11"/>
      <c r="BI427" s="11"/>
      <c r="BJ427" s="11"/>
      <c r="BK427" s="11"/>
    </row>
    <row r="428" spans="1:63" ht="12.75">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c r="AR428" s="11"/>
      <c r="AS428" s="11"/>
      <c r="AT428" s="11"/>
      <c r="AU428" s="11"/>
      <c r="AV428" s="11"/>
      <c r="AW428" s="11"/>
      <c r="AX428" s="11"/>
      <c r="AY428" s="11"/>
      <c r="AZ428" s="11"/>
      <c r="BA428" s="11"/>
      <c r="BB428" s="11"/>
      <c r="BC428" s="11"/>
      <c r="BD428" s="11"/>
      <c r="BE428" s="11"/>
      <c r="BF428" s="11"/>
      <c r="BG428" s="11"/>
      <c r="BH428" s="11"/>
      <c r="BI428" s="11"/>
      <c r="BJ428" s="11"/>
      <c r="BK428" s="11"/>
    </row>
    <row r="429" spans="1:63" ht="12.75">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c r="AR429" s="11"/>
      <c r="AS429" s="11"/>
      <c r="AT429" s="11"/>
      <c r="AU429" s="11"/>
      <c r="AV429" s="11"/>
      <c r="AW429" s="11"/>
      <c r="AX429" s="11"/>
      <c r="AY429" s="11"/>
      <c r="AZ429" s="11"/>
      <c r="BA429" s="11"/>
      <c r="BB429" s="11"/>
      <c r="BC429" s="11"/>
      <c r="BD429" s="11"/>
      <c r="BE429" s="11"/>
      <c r="BF429" s="11"/>
      <c r="BG429" s="11"/>
      <c r="BH429" s="11"/>
      <c r="BI429" s="11"/>
      <c r="BJ429" s="11"/>
      <c r="BK429" s="11"/>
    </row>
    <row r="430" spans="1:63" ht="12.75">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11"/>
      <c r="BA430" s="11"/>
      <c r="BB430" s="11"/>
      <c r="BC430" s="11"/>
      <c r="BD430" s="11"/>
      <c r="BE430" s="11"/>
      <c r="BF430" s="11"/>
      <c r="BG430" s="11"/>
      <c r="BH430" s="11"/>
      <c r="BI430" s="11"/>
      <c r="BJ430" s="11"/>
      <c r="BK430" s="11"/>
    </row>
    <row r="431" spans="1:63" ht="12.75">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c r="BA431" s="11"/>
      <c r="BB431" s="11"/>
      <c r="BC431" s="11"/>
      <c r="BD431" s="11"/>
      <c r="BE431" s="11"/>
      <c r="BF431" s="11"/>
      <c r="BG431" s="11"/>
      <c r="BH431" s="11"/>
      <c r="BI431" s="11"/>
      <c r="BJ431" s="11"/>
      <c r="BK431" s="11"/>
    </row>
    <row r="432" spans="1:63" ht="12.75">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c r="BA432" s="11"/>
      <c r="BB432" s="11"/>
      <c r="BC432" s="11"/>
      <c r="BD432" s="11"/>
      <c r="BE432" s="11"/>
      <c r="BF432" s="11"/>
      <c r="BG432" s="11"/>
      <c r="BH432" s="11"/>
      <c r="BI432" s="11"/>
      <c r="BJ432" s="11"/>
      <c r="BK432" s="11"/>
    </row>
    <row r="433" spans="1:63" ht="12.75">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c r="BA433" s="11"/>
      <c r="BB433" s="11"/>
      <c r="BC433" s="11"/>
      <c r="BD433" s="11"/>
      <c r="BE433" s="11"/>
      <c r="BF433" s="11"/>
      <c r="BG433" s="11"/>
      <c r="BH433" s="11"/>
      <c r="BI433" s="11"/>
      <c r="BJ433" s="11"/>
      <c r="BK433" s="11"/>
    </row>
    <row r="434" spans="1:63" ht="12.75">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c r="BA434" s="11"/>
      <c r="BB434" s="11"/>
      <c r="BC434" s="11"/>
      <c r="BD434" s="11"/>
      <c r="BE434" s="11"/>
      <c r="BF434" s="11"/>
      <c r="BG434" s="11"/>
      <c r="BH434" s="11"/>
      <c r="BI434" s="11"/>
      <c r="BJ434" s="11"/>
      <c r="BK434" s="11"/>
    </row>
    <row r="435" spans="1:63" ht="12.7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c r="AR435" s="11"/>
      <c r="AS435" s="11"/>
      <c r="AT435" s="11"/>
      <c r="AU435" s="11"/>
      <c r="AV435" s="11"/>
      <c r="AW435" s="11"/>
      <c r="AX435" s="11"/>
      <c r="AY435" s="11"/>
      <c r="AZ435" s="11"/>
      <c r="BA435" s="11"/>
      <c r="BB435" s="11"/>
      <c r="BC435" s="11"/>
      <c r="BD435" s="11"/>
      <c r="BE435" s="11"/>
      <c r="BF435" s="11"/>
      <c r="BG435" s="11"/>
      <c r="BH435" s="11"/>
      <c r="BI435" s="11"/>
      <c r="BJ435" s="11"/>
      <c r="BK435" s="11"/>
    </row>
    <row r="436" spans="1:63" ht="12.75">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c r="BA436" s="11"/>
      <c r="BB436" s="11"/>
      <c r="BC436" s="11"/>
      <c r="BD436" s="11"/>
      <c r="BE436" s="11"/>
      <c r="BF436" s="11"/>
      <c r="BG436" s="11"/>
      <c r="BH436" s="11"/>
      <c r="BI436" s="11"/>
      <c r="BJ436" s="11"/>
      <c r="BK436" s="11"/>
    </row>
    <row r="437" spans="1:63" ht="12.75">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c r="BC437" s="11"/>
      <c r="BD437" s="11"/>
      <c r="BE437" s="11"/>
      <c r="BF437" s="11"/>
      <c r="BG437" s="11"/>
      <c r="BH437" s="11"/>
      <c r="BI437" s="11"/>
      <c r="BJ437" s="11"/>
      <c r="BK437" s="11"/>
    </row>
    <row r="438" spans="1:63" ht="12.75">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c r="BA438" s="11"/>
      <c r="BB438" s="11"/>
      <c r="BC438" s="11"/>
      <c r="BD438" s="11"/>
      <c r="BE438" s="11"/>
      <c r="BF438" s="11"/>
      <c r="BG438" s="11"/>
      <c r="BH438" s="11"/>
      <c r="BI438" s="11"/>
      <c r="BJ438" s="11"/>
      <c r="BK438" s="11"/>
    </row>
    <row r="439" spans="1:63" ht="12.75">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11"/>
      <c r="BA439" s="11"/>
      <c r="BB439" s="11"/>
      <c r="BC439" s="11"/>
      <c r="BD439" s="11"/>
      <c r="BE439" s="11"/>
      <c r="BF439" s="11"/>
      <c r="BG439" s="11"/>
      <c r="BH439" s="11"/>
      <c r="BI439" s="11"/>
      <c r="BJ439" s="11"/>
      <c r="BK439" s="11"/>
    </row>
    <row r="440" spans="1:63" ht="12.75">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c r="BA440" s="11"/>
      <c r="BB440" s="11"/>
      <c r="BC440" s="11"/>
      <c r="BD440" s="11"/>
      <c r="BE440" s="11"/>
      <c r="BF440" s="11"/>
      <c r="BG440" s="11"/>
      <c r="BH440" s="11"/>
      <c r="BI440" s="11"/>
      <c r="BJ440" s="11"/>
      <c r="BK440" s="11"/>
    </row>
    <row r="441" spans="1:63" ht="12.75">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c r="AU441" s="11"/>
      <c r="AV441" s="11"/>
      <c r="AW441" s="11"/>
      <c r="AX441" s="11"/>
      <c r="AY441" s="11"/>
      <c r="AZ441" s="11"/>
      <c r="BA441" s="11"/>
      <c r="BB441" s="11"/>
      <c r="BC441" s="11"/>
      <c r="BD441" s="11"/>
      <c r="BE441" s="11"/>
      <c r="BF441" s="11"/>
      <c r="BG441" s="11"/>
      <c r="BH441" s="11"/>
      <c r="BI441" s="11"/>
      <c r="BJ441" s="11"/>
      <c r="BK441" s="11"/>
    </row>
    <row r="442" spans="1:63" ht="12.75">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11"/>
      <c r="BA442" s="11"/>
      <c r="BB442" s="11"/>
      <c r="BC442" s="11"/>
      <c r="BD442" s="11"/>
      <c r="BE442" s="11"/>
      <c r="BF442" s="11"/>
      <c r="BG442" s="11"/>
      <c r="BH442" s="11"/>
      <c r="BI442" s="11"/>
      <c r="BJ442" s="11"/>
      <c r="BK442" s="11"/>
    </row>
    <row r="443" spans="1:63" ht="12.75">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c r="BA443" s="11"/>
      <c r="BB443" s="11"/>
      <c r="BC443" s="11"/>
      <c r="BD443" s="11"/>
      <c r="BE443" s="11"/>
      <c r="BF443" s="11"/>
      <c r="BG443" s="11"/>
      <c r="BH443" s="11"/>
      <c r="BI443" s="11"/>
      <c r="BJ443" s="11"/>
      <c r="BK443" s="11"/>
    </row>
    <row r="444" spans="1:63" ht="12.75">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c r="BA444" s="11"/>
      <c r="BB444" s="11"/>
      <c r="BC444" s="11"/>
      <c r="BD444" s="11"/>
      <c r="BE444" s="11"/>
      <c r="BF444" s="11"/>
      <c r="BG444" s="11"/>
      <c r="BH444" s="11"/>
      <c r="BI444" s="11"/>
      <c r="BJ444" s="11"/>
      <c r="BK444" s="11"/>
    </row>
    <row r="445" spans="1:63" ht="12.7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11"/>
      <c r="BA445" s="11"/>
      <c r="BB445" s="11"/>
      <c r="BC445" s="11"/>
      <c r="BD445" s="11"/>
      <c r="BE445" s="11"/>
      <c r="BF445" s="11"/>
      <c r="BG445" s="11"/>
      <c r="BH445" s="11"/>
      <c r="BI445" s="11"/>
      <c r="BJ445" s="11"/>
      <c r="BK445" s="11"/>
    </row>
    <row r="446" spans="1:63" ht="12.75">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c r="BA446" s="11"/>
      <c r="BB446" s="11"/>
      <c r="BC446" s="11"/>
      <c r="BD446" s="11"/>
      <c r="BE446" s="11"/>
      <c r="BF446" s="11"/>
      <c r="BG446" s="11"/>
      <c r="BH446" s="11"/>
      <c r="BI446" s="11"/>
      <c r="BJ446" s="11"/>
      <c r="BK446" s="11"/>
    </row>
    <row r="447" spans="1:63" ht="12.75">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c r="BA447" s="11"/>
      <c r="BB447" s="11"/>
      <c r="BC447" s="11"/>
      <c r="BD447" s="11"/>
      <c r="BE447" s="11"/>
      <c r="BF447" s="11"/>
      <c r="BG447" s="11"/>
      <c r="BH447" s="11"/>
      <c r="BI447" s="11"/>
      <c r="BJ447" s="11"/>
      <c r="BK447" s="11"/>
    </row>
    <row r="448" spans="1:63" ht="12.75">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c r="BA448" s="11"/>
      <c r="BB448" s="11"/>
      <c r="BC448" s="11"/>
      <c r="BD448" s="11"/>
      <c r="BE448" s="11"/>
      <c r="BF448" s="11"/>
      <c r="BG448" s="11"/>
      <c r="BH448" s="11"/>
      <c r="BI448" s="11"/>
      <c r="BJ448" s="11"/>
      <c r="BK448" s="11"/>
    </row>
    <row r="449" spans="1:63" ht="12.75">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c r="AW449" s="11"/>
      <c r="AX449" s="11"/>
      <c r="AY449" s="11"/>
      <c r="AZ449" s="11"/>
      <c r="BA449" s="11"/>
      <c r="BB449" s="11"/>
      <c r="BC449" s="11"/>
      <c r="BD449" s="11"/>
      <c r="BE449" s="11"/>
      <c r="BF449" s="11"/>
      <c r="BG449" s="11"/>
      <c r="BH449" s="11"/>
      <c r="BI449" s="11"/>
      <c r="BJ449" s="11"/>
      <c r="BK449" s="11"/>
    </row>
    <row r="450" spans="1:63" ht="12.75">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11"/>
      <c r="BA450" s="11"/>
      <c r="BB450" s="11"/>
      <c r="BC450" s="11"/>
      <c r="BD450" s="11"/>
      <c r="BE450" s="11"/>
      <c r="BF450" s="11"/>
      <c r="BG450" s="11"/>
      <c r="BH450" s="11"/>
      <c r="BI450" s="11"/>
      <c r="BJ450" s="11"/>
      <c r="BK450" s="11"/>
    </row>
    <row r="451" spans="1:63" ht="12.75">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11"/>
      <c r="BA451" s="11"/>
      <c r="BB451" s="11"/>
      <c r="BC451" s="11"/>
      <c r="BD451" s="11"/>
      <c r="BE451" s="11"/>
      <c r="BF451" s="11"/>
      <c r="BG451" s="11"/>
      <c r="BH451" s="11"/>
      <c r="BI451" s="11"/>
      <c r="BJ451" s="11"/>
      <c r="BK451" s="11"/>
    </row>
    <row r="452" spans="1:63" ht="12.75">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11"/>
      <c r="BA452" s="11"/>
      <c r="BB452" s="11"/>
      <c r="BC452" s="11"/>
      <c r="BD452" s="11"/>
      <c r="BE452" s="11"/>
      <c r="BF452" s="11"/>
      <c r="BG452" s="11"/>
      <c r="BH452" s="11"/>
      <c r="BI452" s="11"/>
      <c r="BJ452" s="11"/>
      <c r="BK452" s="11"/>
    </row>
    <row r="453" spans="1:63" ht="12.75">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11"/>
      <c r="BA453" s="11"/>
      <c r="BB453" s="11"/>
      <c r="BC453" s="11"/>
      <c r="BD453" s="11"/>
      <c r="BE453" s="11"/>
      <c r="BF453" s="11"/>
      <c r="BG453" s="11"/>
      <c r="BH453" s="11"/>
      <c r="BI453" s="11"/>
      <c r="BJ453" s="11"/>
      <c r="BK453" s="11"/>
    </row>
    <row r="454" spans="1:63" ht="12.75">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c r="BA454" s="11"/>
      <c r="BB454" s="11"/>
      <c r="BC454" s="11"/>
      <c r="BD454" s="11"/>
      <c r="BE454" s="11"/>
      <c r="BF454" s="11"/>
      <c r="BG454" s="11"/>
      <c r="BH454" s="11"/>
      <c r="BI454" s="11"/>
      <c r="BJ454" s="11"/>
      <c r="BK454" s="11"/>
    </row>
    <row r="455" spans="1:63" ht="12.7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c r="AZ455" s="11"/>
      <c r="BA455" s="11"/>
      <c r="BB455" s="11"/>
      <c r="BC455" s="11"/>
      <c r="BD455" s="11"/>
      <c r="BE455" s="11"/>
      <c r="BF455" s="11"/>
      <c r="BG455" s="11"/>
      <c r="BH455" s="11"/>
      <c r="BI455" s="11"/>
      <c r="BJ455" s="11"/>
      <c r="BK455" s="11"/>
    </row>
    <row r="456" spans="1:63" ht="12.75">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11"/>
      <c r="BA456" s="11"/>
      <c r="BB456" s="11"/>
      <c r="BC456" s="11"/>
      <c r="BD456" s="11"/>
      <c r="BE456" s="11"/>
      <c r="BF456" s="11"/>
      <c r="BG456" s="11"/>
      <c r="BH456" s="11"/>
      <c r="BI456" s="11"/>
      <c r="BJ456" s="11"/>
      <c r="BK456" s="11"/>
    </row>
    <row r="457" spans="1:63" ht="12.75">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c r="BA457" s="11"/>
      <c r="BB457" s="11"/>
      <c r="BC457" s="11"/>
      <c r="BD457" s="11"/>
      <c r="BE457" s="11"/>
      <c r="BF457" s="11"/>
      <c r="BG457" s="11"/>
      <c r="BH457" s="11"/>
      <c r="BI457" s="11"/>
      <c r="BJ457" s="11"/>
      <c r="BK457" s="11"/>
    </row>
    <row r="458" spans="1:63" ht="12.75">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c r="BA458" s="11"/>
      <c r="BB458" s="11"/>
      <c r="BC458" s="11"/>
      <c r="BD458" s="11"/>
      <c r="BE458" s="11"/>
      <c r="BF458" s="11"/>
      <c r="BG458" s="11"/>
      <c r="BH458" s="11"/>
      <c r="BI458" s="11"/>
      <c r="BJ458" s="11"/>
      <c r="BK458" s="11"/>
    </row>
    <row r="459" spans="1:63" ht="12.75">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c r="AZ459" s="11"/>
      <c r="BA459" s="11"/>
      <c r="BB459" s="11"/>
      <c r="BC459" s="11"/>
      <c r="BD459" s="11"/>
      <c r="BE459" s="11"/>
      <c r="BF459" s="11"/>
      <c r="BG459" s="11"/>
      <c r="BH459" s="11"/>
      <c r="BI459" s="11"/>
      <c r="BJ459" s="11"/>
      <c r="BK459" s="11"/>
    </row>
    <row r="460" spans="1:63" ht="12.75">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c r="BA460" s="11"/>
      <c r="BB460" s="11"/>
      <c r="BC460" s="11"/>
      <c r="BD460" s="11"/>
      <c r="BE460" s="11"/>
      <c r="BF460" s="11"/>
      <c r="BG460" s="11"/>
      <c r="BH460" s="11"/>
      <c r="BI460" s="11"/>
      <c r="BJ460" s="11"/>
      <c r="BK460" s="11"/>
    </row>
    <row r="461" spans="1:63" ht="12.75">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c r="BA461" s="11"/>
      <c r="BB461" s="11"/>
      <c r="BC461" s="11"/>
      <c r="BD461" s="11"/>
      <c r="BE461" s="11"/>
      <c r="BF461" s="11"/>
      <c r="BG461" s="11"/>
      <c r="BH461" s="11"/>
      <c r="BI461" s="11"/>
      <c r="BJ461" s="11"/>
      <c r="BK461" s="11"/>
    </row>
    <row r="462" spans="1:63" ht="12.75">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c r="BB462" s="11"/>
      <c r="BC462" s="11"/>
      <c r="BD462" s="11"/>
      <c r="BE462" s="11"/>
      <c r="BF462" s="11"/>
      <c r="BG462" s="11"/>
      <c r="BH462" s="11"/>
      <c r="BI462" s="11"/>
      <c r="BJ462" s="11"/>
      <c r="BK462" s="11"/>
    </row>
    <row r="463" spans="1:63" ht="12.75">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c r="BB463" s="11"/>
      <c r="BC463" s="11"/>
      <c r="BD463" s="11"/>
      <c r="BE463" s="11"/>
      <c r="BF463" s="11"/>
      <c r="BG463" s="11"/>
      <c r="BH463" s="11"/>
      <c r="BI463" s="11"/>
      <c r="BJ463" s="11"/>
      <c r="BK463" s="11"/>
    </row>
    <row r="464" spans="1:63" ht="12.75">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c r="BB464" s="11"/>
      <c r="BC464" s="11"/>
      <c r="BD464" s="11"/>
      <c r="BE464" s="11"/>
      <c r="BF464" s="11"/>
      <c r="BG464" s="11"/>
      <c r="BH464" s="11"/>
      <c r="BI464" s="11"/>
      <c r="BJ464" s="11"/>
      <c r="BK464" s="11"/>
    </row>
    <row r="465" spans="1:63" ht="12.7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c r="BB465" s="11"/>
      <c r="BC465" s="11"/>
      <c r="BD465" s="11"/>
      <c r="BE465" s="11"/>
      <c r="BF465" s="11"/>
      <c r="BG465" s="11"/>
      <c r="BH465" s="11"/>
      <c r="BI465" s="11"/>
      <c r="BJ465" s="11"/>
      <c r="BK465" s="11"/>
    </row>
    <row r="466" spans="1:63" ht="12.75">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c r="BC466" s="11"/>
      <c r="BD466" s="11"/>
      <c r="BE466" s="11"/>
      <c r="BF466" s="11"/>
      <c r="BG466" s="11"/>
      <c r="BH466" s="11"/>
      <c r="BI466" s="11"/>
      <c r="BJ466" s="11"/>
      <c r="BK466" s="11"/>
    </row>
    <row r="467" spans="1:63" ht="12.75">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c r="BB467" s="11"/>
      <c r="BC467" s="11"/>
      <c r="BD467" s="11"/>
      <c r="BE467" s="11"/>
      <c r="BF467" s="11"/>
      <c r="BG467" s="11"/>
      <c r="BH467" s="11"/>
      <c r="BI467" s="11"/>
      <c r="BJ467" s="11"/>
      <c r="BK467" s="11"/>
    </row>
    <row r="468" spans="1:63" ht="12.75">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c r="BB468" s="11"/>
      <c r="BC468" s="11"/>
      <c r="BD468" s="11"/>
      <c r="BE468" s="11"/>
      <c r="BF468" s="11"/>
      <c r="BG468" s="11"/>
      <c r="BH468" s="11"/>
      <c r="BI468" s="11"/>
      <c r="BJ468" s="11"/>
      <c r="BK468" s="11"/>
    </row>
    <row r="469" spans="1:63" ht="12.75">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c r="BB469" s="11"/>
      <c r="BC469" s="11"/>
      <c r="BD469" s="11"/>
      <c r="BE469" s="11"/>
      <c r="BF469" s="11"/>
      <c r="BG469" s="11"/>
      <c r="BH469" s="11"/>
      <c r="BI469" s="11"/>
      <c r="BJ469" s="11"/>
      <c r="BK469" s="11"/>
    </row>
    <row r="470" spans="1:63" ht="12.75">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c r="BC470" s="11"/>
      <c r="BD470" s="11"/>
      <c r="BE470" s="11"/>
      <c r="BF470" s="11"/>
      <c r="BG470" s="11"/>
      <c r="BH470" s="11"/>
      <c r="BI470" s="11"/>
      <c r="BJ470" s="11"/>
      <c r="BK470" s="11"/>
    </row>
    <row r="471" spans="1:63" ht="12.75">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c r="BC471" s="11"/>
      <c r="BD471" s="11"/>
      <c r="BE471" s="11"/>
      <c r="BF471" s="11"/>
      <c r="BG471" s="11"/>
      <c r="BH471" s="11"/>
      <c r="BI471" s="11"/>
      <c r="BJ471" s="11"/>
      <c r="BK471" s="11"/>
    </row>
    <row r="472" spans="1:63" ht="12.75">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c r="BC472" s="11"/>
      <c r="BD472" s="11"/>
      <c r="BE472" s="11"/>
      <c r="BF472" s="11"/>
      <c r="BG472" s="11"/>
      <c r="BH472" s="11"/>
      <c r="BI472" s="11"/>
      <c r="BJ472" s="11"/>
      <c r="BK472" s="11"/>
    </row>
    <row r="473" spans="1:63" ht="12.75">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c r="BC473" s="11"/>
      <c r="BD473" s="11"/>
      <c r="BE473" s="11"/>
      <c r="BF473" s="11"/>
      <c r="BG473" s="11"/>
      <c r="BH473" s="11"/>
      <c r="BI473" s="11"/>
      <c r="BJ473" s="11"/>
      <c r="BK473" s="11"/>
    </row>
    <row r="474" spans="1:63" ht="12.75">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c r="BC474" s="11"/>
      <c r="BD474" s="11"/>
      <c r="BE474" s="11"/>
      <c r="BF474" s="11"/>
      <c r="BG474" s="11"/>
      <c r="BH474" s="11"/>
      <c r="BI474" s="11"/>
      <c r="BJ474" s="11"/>
      <c r="BK474" s="11"/>
    </row>
    <row r="475" spans="1:63" ht="12.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c r="BC475" s="11"/>
      <c r="BD475" s="11"/>
      <c r="BE475" s="11"/>
      <c r="BF475" s="11"/>
      <c r="BG475" s="11"/>
      <c r="BH475" s="11"/>
      <c r="BI475" s="11"/>
      <c r="BJ475" s="11"/>
      <c r="BK475" s="11"/>
    </row>
    <row r="476" spans="1:63" ht="12.75">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c r="BC476" s="11"/>
      <c r="BD476" s="11"/>
      <c r="BE476" s="11"/>
      <c r="BF476" s="11"/>
      <c r="BG476" s="11"/>
      <c r="BH476" s="11"/>
      <c r="BI476" s="11"/>
      <c r="BJ476" s="11"/>
      <c r="BK476" s="11"/>
    </row>
    <row r="477" spans="1:63" ht="12.75">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c r="BC477" s="11"/>
      <c r="BD477" s="11"/>
      <c r="BE477" s="11"/>
      <c r="BF477" s="11"/>
      <c r="BG477" s="11"/>
      <c r="BH477" s="11"/>
      <c r="BI477" s="11"/>
      <c r="BJ477" s="11"/>
      <c r="BK477" s="11"/>
    </row>
    <row r="478" spans="1:63" ht="12.75">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c r="BC478" s="11"/>
      <c r="BD478" s="11"/>
      <c r="BE478" s="11"/>
      <c r="BF478" s="11"/>
      <c r="BG478" s="11"/>
      <c r="BH478" s="11"/>
      <c r="BI478" s="11"/>
      <c r="BJ478" s="11"/>
      <c r="BK478" s="11"/>
    </row>
    <row r="479" spans="1:63" ht="12.75">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c r="BD479" s="11"/>
      <c r="BE479" s="11"/>
      <c r="BF479" s="11"/>
      <c r="BG479" s="11"/>
      <c r="BH479" s="11"/>
      <c r="BI479" s="11"/>
      <c r="BJ479" s="11"/>
      <c r="BK479" s="11"/>
    </row>
    <row r="480" spans="1:63" ht="12.75">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c r="BD480" s="11"/>
      <c r="BE480" s="11"/>
      <c r="BF480" s="11"/>
      <c r="BG480" s="11"/>
      <c r="BH480" s="11"/>
      <c r="BI480" s="11"/>
      <c r="BJ480" s="11"/>
      <c r="BK480" s="11"/>
    </row>
    <row r="481" spans="1:63" ht="12.75">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c r="BD481" s="11"/>
      <c r="BE481" s="11"/>
      <c r="BF481" s="11"/>
      <c r="BG481" s="11"/>
      <c r="BH481" s="11"/>
      <c r="BI481" s="11"/>
      <c r="BJ481" s="11"/>
      <c r="BK481" s="11"/>
    </row>
    <row r="482" spans="1:63" ht="12.75">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c r="BD482" s="11"/>
      <c r="BE482" s="11"/>
      <c r="BF482" s="11"/>
      <c r="BG482" s="11"/>
      <c r="BH482" s="11"/>
      <c r="BI482" s="11"/>
      <c r="BJ482" s="11"/>
      <c r="BK482" s="11"/>
    </row>
    <row r="483" spans="1:63" ht="12.75">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c r="BD483" s="11"/>
      <c r="BE483" s="11"/>
      <c r="BF483" s="11"/>
      <c r="BG483" s="11"/>
      <c r="BH483" s="11"/>
      <c r="BI483" s="11"/>
      <c r="BJ483" s="11"/>
      <c r="BK483" s="11"/>
    </row>
    <row r="484" spans="1:63" ht="12.75">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c r="BD484" s="11"/>
      <c r="BE484" s="11"/>
      <c r="BF484" s="11"/>
      <c r="BG484" s="11"/>
      <c r="BH484" s="11"/>
      <c r="BI484" s="11"/>
      <c r="BJ484" s="11"/>
      <c r="BK484" s="11"/>
    </row>
    <row r="485" spans="1:63" ht="12.7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c r="BD485" s="11"/>
      <c r="BE485" s="11"/>
      <c r="BF485" s="11"/>
      <c r="BG485" s="11"/>
      <c r="BH485" s="11"/>
      <c r="BI485" s="11"/>
      <c r="BJ485" s="11"/>
      <c r="BK485" s="11"/>
    </row>
    <row r="486" spans="1:63" ht="12.75">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c r="BD486" s="11"/>
      <c r="BE486" s="11"/>
      <c r="BF486" s="11"/>
      <c r="BG486" s="11"/>
      <c r="BH486" s="11"/>
      <c r="BI486" s="11"/>
      <c r="BJ486" s="11"/>
      <c r="BK486" s="11"/>
    </row>
    <row r="487" spans="1:63" ht="12.75">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c r="BD487" s="11"/>
      <c r="BE487" s="11"/>
      <c r="BF487" s="11"/>
      <c r="BG487" s="11"/>
      <c r="BH487" s="11"/>
      <c r="BI487" s="11"/>
      <c r="BJ487" s="11"/>
      <c r="BK487" s="11"/>
    </row>
    <row r="488" spans="1:63" ht="12.75">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c r="BD488" s="11"/>
      <c r="BE488" s="11"/>
      <c r="BF488" s="11"/>
      <c r="BG488" s="11"/>
      <c r="BH488" s="11"/>
      <c r="BI488" s="11"/>
      <c r="BJ488" s="11"/>
      <c r="BK488" s="11"/>
    </row>
    <row r="489" spans="1:63" ht="12.75">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c r="BE489" s="11"/>
      <c r="BF489" s="11"/>
      <c r="BG489" s="11"/>
      <c r="BH489" s="11"/>
      <c r="BI489" s="11"/>
      <c r="BJ489" s="11"/>
      <c r="BK489" s="11"/>
    </row>
    <row r="490" spans="1:63" ht="12.75">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c r="BE490" s="11"/>
      <c r="BF490" s="11"/>
      <c r="BG490" s="11"/>
      <c r="BH490" s="11"/>
      <c r="BI490" s="11"/>
      <c r="BJ490" s="11"/>
      <c r="BK490" s="11"/>
    </row>
    <row r="491" spans="1:63" ht="12.75">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c r="BE491" s="11"/>
      <c r="BF491" s="11"/>
      <c r="BG491" s="11"/>
      <c r="BH491" s="11"/>
      <c r="BI491" s="11"/>
      <c r="BJ491" s="11"/>
      <c r="BK491" s="11"/>
    </row>
    <row r="492" spans="1:63" ht="12.75">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c r="BE492" s="11"/>
      <c r="BF492" s="11"/>
      <c r="BG492" s="11"/>
      <c r="BH492" s="11"/>
      <c r="BI492" s="11"/>
      <c r="BJ492" s="11"/>
      <c r="BK492" s="11"/>
    </row>
    <row r="493" spans="1:63" ht="12.75">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c r="BE493" s="11"/>
      <c r="BF493" s="11"/>
      <c r="BG493" s="11"/>
      <c r="BH493" s="11"/>
      <c r="BI493" s="11"/>
      <c r="BJ493" s="11"/>
      <c r="BK493" s="11"/>
    </row>
    <row r="494" spans="1:63" ht="12.75">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c r="BE494" s="11"/>
      <c r="BF494" s="11"/>
      <c r="BG494" s="11"/>
      <c r="BH494" s="11"/>
      <c r="BI494" s="11"/>
      <c r="BJ494" s="11"/>
      <c r="BK494" s="11"/>
    </row>
    <row r="495" spans="1:63" ht="12.7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c r="BE495" s="11"/>
      <c r="BF495" s="11"/>
      <c r="BG495" s="11"/>
      <c r="BH495" s="11"/>
      <c r="BI495" s="11"/>
      <c r="BJ495" s="11"/>
      <c r="BK495" s="11"/>
    </row>
    <row r="496" spans="1:63" ht="12.75">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c r="BE496" s="11"/>
      <c r="BF496" s="11"/>
      <c r="BG496" s="11"/>
      <c r="BH496" s="11"/>
      <c r="BI496" s="11"/>
      <c r="BJ496" s="11"/>
      <c r="BK496" s="11"/>
    </row>
    <row r="497" spans="1:63" ht="12.75">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c r="BE497" s="11"/>
      <c r="BF497" s="11"/>
      <c r="BG497" s="11"/>
      <c r="BH497" s="11"/>
      <c r="BI497" s="11"/>
      <c r="BJ497" s="11"/>
      <c r="BK497" s="11"/>
    </row>
    <row r="498" spans="1:63" ht="12.75">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c r="BE498" s="11"/>
      <c r="BF498" s="11"/>
      <c r="BG498" s="11"/>
      <c r="BH498" s="11"/>
      <c r="BI498" s="11"/>
      <c r="BJ498" s="11"/>
      <c r="BK498" s="11"/>
    </row>
    <row r="499" spans="1:63" ht="12.75">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c r="BF499" s="11"/>
      <c r="BG499" s="11"/>
      <c r="BH499" s="11"/>
      <c r="BI499" s="11"/>
      <c r="BJ499" s="11"/>
      <c r="BK499" s="11"/>
    </row>
    <row r="500" spans="1:63" ht="12.75">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c r="BF500" s="11"/>
      <c r="BG500" s="11"/>
      <c r="BH500" s="11"/>
      <c r="BI500" s="11"/>
      <c r="BJ500" s="11"/>
      <c r="BK500" s="11"/>
    </row>
    <row r="501" spans="1:63" ht="12.75">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c r="BF501" s="11"/>
      <c r="BG501" s="11"/>
      <c r="BH501" s="11"/>
      <c r="BI501" s="11"/>
      <c r="BJ501" s="11"/>
      <c r="BK501" s="11"/>
    </row>
    <row r="502" spans="1:63" ht="12.75">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c r="BF502" s="11"/>
      <c r="BG502" s="11"/>
      <c r="BH502" s="11"/>
      <c r="BI502" s="11"/>
      <c r="BJ502" s="11"/>
      <c r="BK502" s="11"/>
    </row>
    <row r="503" spans="1:63" ht="12.75">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c r="BF503" s="11"/>
      <c r="BG503" s="11"/>
      <c r="BH503" s="11"/>
      <c r="BI503" s="11"/>
      <c r="BJ503" s="11"/>
      <c r="BK503" s="11"/>
    </row>
    <row r="504" spans="1:63" ht="12.75">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c r="BF504" s="11"/>
      <c r="BG504" s="11"/>
      <c r="BH504" s="11"/>
      <c r="BI504" s="11"/>
      <c r="BJ504" s="11"/>
      <c r="BK504" s="11"/>
    </row>
    <row r="505" spans="1:63" ht="12.7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c r="BG505" s="11"/>
      <c r="BH505" s="11"/>
      <c r="BI505" s="11"/>
      <c r="BJ505" s="11"/>
      <c r="BK505" s="11"/>
    </row>
    <row r="506" spans="1:63" ht="12.75">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c r="BG506" s="11"/>
      <c r="BH506" s="11"/>
      <c r="BI506" s="11"/>
      <c r="BJ506" s="11"/>
      <c r="BK506" s="11"/>
    </row>
    <row r="507" spans="1:63" ht="12.75">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c r="BG507" s="11"/>
      <c r="BH507" s="11"/>
      <c r="BI507" s="11"/>
      <c r="BJ507" s="11"/>
      <c r="BK507" s="11"/>
    </row>
    <row r="508" spans="1:63" ht="12.75">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c r="BG508" s="11"/>
      <c r="BH508" s="11"/>
      <c r="BI508" s="11"/>
      <c r="BJ508" s="11"/>
      <c r="BK508" s="11"/>
    </row>
    <row r="509" spans="1:63" ht="12.75">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c r="BG509" s="11"/>
      <c r="BH509" s="11"/>
      <c r="BI509" s="11"/>
      <c r="BJ509" s="11"/>
      <c r="BK509" s="11"/>
    </row>
    <row r="510" spans="1:63" ht="12.75">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c r="BH510" s="11"/>
      <c r="BI510" s="11"/>
      <c r="BJ510" s="11"/>
      <c r="BK510" s="11"/>
    </row>
    <row r="511" spans="1:63" ht="12.75">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c r="BH511" s="11"/>
      <c r="BI511" s="11"/>
      <c r="BJ511" s="11"/>
      <c r="BK511" s="11"/>
    </row>
    <row r="512" spans="1:63" ht="12.75">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c r="BI512" s="11"/>
      <c r="BJ512" s="11"/>
      <c r="BK512" s="11"/>
    </row>
    <row r="513" spans="1:63" ht="12.75">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c r="BI513" s="11"/>
      <c r="BJ513" s="11"/>
      <c r="BK513" s="11"/>
    </row>
    <row r="514" spans="1:63" ht="12.75">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c r="BJ514" s="11"/>
      <c r="BK514" s="11"/>
    </row>
    <row r="515" spans="1:63" ht="12.7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c r="BJ515" s="11"/>
      <c r="BK515" s="11"/>
    </row>
    <row r="516" spans="1:63" ht="12.75">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c r="BJ516" s="11"/>
      <c r="BK516" s="11"/>
    </row>
    <row r="517" spans="1:63" ht="12.75">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c r="BK517" s="11"/>
    </row>
    <row r="518" spans="1:63" ht="12.75">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c r="BK518" s="11"/>
    </row>
    <row r="519" spans="1:63" ht="12.75">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c r="BK519" s="11"/>
    </row>
    <row r="520" spans="1:63" ht="12.75">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c r="BK520" s="11"/>
    </row>
    <row r="521" spans="1:63" ht="12.75">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c r="BK521" s="11"/>
    </row>
    <row r="522" spans="1:63" ht="12.75">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c r="BK522" s="11"/>
    </row>
    <row r="523" spans="1:63" ht="12.75">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row>
    <row r="524" spans="1:63" ht="12.75">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row>
    <row r="525" spans="1:63" ht="12.7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row>
    <row r="526" spans="1:63" ht="12.75">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row>
    <row r="527" spans="1:63" ht="12.75">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row>
    <row r="528" spans="1:63" ht="12.75">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row>
    <row r="529" spans="1:63" ht="12.75">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row>
    <row r="530" spans="1:63" ht="12.75">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c r="BC530" s="11"/>
      <c r="BD530" s="11"/>
      <c r="BE530" s="11"/>
      <c r="BF530" s="11"/>
      <c r="BG530" s="11"/>
      <c r="BH530" s="11"/>
      <c r="BI530" s="11"/>
      <c r="BJ530" s="11"/>
      <c r="BK530" s="11"/>
    </row>
    <row r="531" spans="1:63" ht="12.75">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c r="BC531" s="11"/>
      <c r="BD531" s="11"/>
      <c r="BE531" s="11"/>
      <c r="BF531" s="11"/>
      <c r="BG531" s="11"/>
      <c r="BH531" s="11"/>
      <c r="BI531" s="11"/>
      <c r="BJ531" s="11"/>
      <c r="BK531" s="11"/>
    </row>
    <row r="532" spans="1:63" ht="12.75">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row>
    <row r="533" spans="1:63" ht="12.75">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row>
    <row r="534" spans="1:63" ht="12.75">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11"/>
      <c r="BA534" s="11"/>
      <c r="BB534" s="11"/>
      <c r="BC534" s="11"/>
      <c r="BD534" s="11"/>
      <c r="BE534" s="11"/>
      <c r="BF534" s="11"/>
      <c r="BG534" s="11"/>
      <c r="BH534" s="11"/>
      <c r="BI534" s="11"/>
      <c r="BJ534" s="11"/>
      <c r="BK534" s="11"/>
    </row>
    <row r="535" spans="1:63" ht="12.7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c r="BA535" s="11"/>
      <c r="BB535" s="11"/>
      <c r="BC535" s="11"/>
      <c r="BD535" s="11"/>
      <c r="BE535" s="11"/>
      <c r="BF535" s="11"/>
      <c r="BG535" s="11"/>
      <c r="BH535" s="11"/>
      <c r="BI535" s="11"/>
      <c r="BJ535" s="11"/>
      <c r="BK535" s="11"/>
    </row>
    <row r="536" spans="1:63" ht="12.75">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c r="BA536" s="11"/>
      <c r="BB536" s="11"/>
      <c r="BC536" s="11"/>
      <c r="BD536" s="11"/>
      <c r="BE536" s="11"/>
      <c r="BF536" s="11"/>
      <c r="BG536" s="11"/>
      <c r="BH536" s="11"/>
      <c r="BI536" s="11"/>
      <c r="BJ536" s="11"/>
      <c r="BK536" s="11"/>
    </row>
    <row r="537" spans="1:63" ht="12.75">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c r="BC537" s="11"/>
      <c r="BD537" s="11"/>
      <c r="BE537" s="11"/>
      <c r="BF537" s="11"/>
      <c r="BG537" s="11"/>
      <c r="BH537" s="11"/>
      <c r="BI537" s="11"/>
      <c r="BJ537" s="11"/>
      <c r="BK537" s="11"/>
    </row>
    <row r="538" spans="1:63" ht="12.75">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c r="BC538" s="11"/>
      <c r="BD538" s="11"/>
      <c r="BE538" s="11"/>
      <c r="BF538" s="11"/>
      <c r="BG538" s="11"/>
      <c r="BH538" s="11"/>
      <c r="BI538" s="11"/>
      <c r="BJ538" s="11"/>
      <c r="BK538" s="11"/>
    </row>
    <row r="539" spans="1:63" ht="12.75">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c r="BA539" s="11"/>
      <c r="BB539" s="11"/>
      <c r="BC539" s="11"/>
      <c r="BD539" s="11"/>
      <c r="BE539" s="11"/>
      <c r="BF539" s="11"/>
      <c r="BG539" s="11"/>
      <c r="BH539" s="11"/>
      <c r="BI539" s="11"/>
      <c r="BJ539" s="11"/>
      <c r="BK539" s="11"/>
    </row>
    <row r="540" spans="1:63" ht="12.75">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c r="BC540" s="11"/>
      <c r="BD540" s="11"/>
      <c r="BE540" s="11"/>
      <c r="BF540" s="11"/>
      <c r="BG540" s="11"/>
      <c r="BH540" s="11"/>
      <c r="BI540" s="11"/>
      <c r="BJ540" s="11"/>
      <c r="BK540" s="11"/>
    </row>
    <row r="541" spans="1:63" ht="12.75">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c r="BC541" s="11"/>
      <c r="BD541" s="11"/>
      <c r="BE541" s="11"/>
      <c r="BF541" s="11"/>
      <c r="BG541" s="11"/>
      <c r="BH541" s="11"/>
      <c r="BI541" s="11"/>
      <c r="BJ541" s="11"/>
      <c r="BK541" s="11"/>
    </row>
    <row r="542" spans="1:63" ht="12.75">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c r="AE542" s="11"/>
      <c r="AF542" s="11"/>
      <c r="AG542" s="11"/>
      <c r="AH542" s="11"/>
      <c r="AI542" s="11"/>
      <c r="AJ542" s="11"/>
      <c r="AK542" s="11"/>
      <c r="AL542" s="11"/>
      <c r="AM542" s="11"/>
      <c r="AN542" s="11"/>
      <c r="AO542" s="11"/>
      <c r="AP542" s="11"/>
      <c r="AQ542" s="11"/>
      <c r="AR542" s="11"/>
      <c r="AS542" s="11"/>
      <c r="AT542" s="11"/>
      <c r="AU542" s="11"/>
      <c r="AV542" s="11"/>
      <c r="AW542" s="11"/>
      <c r="AX542" s="11"/>
      <c r="AY542" s="11"/>
      <c r="AZ542" s="11"/>
      <c r="BA542" s="11"/>
      <c r="BB542" s="11"/>
      <c r="BC542" s="11"/>
      <c r="BD542" s="11"/>
      <c r="BE542" s="11"/>
      <c r="BF542" s="11"/>
      <c r="BG542" s="11"/>
      <c r="BH542" s="11"/>
      <c r="BI542" s="11"/>
      <c r="BJ542" s="11"/>
      <c r="BK542" s="11"/>
    </row>
    <row r="543" spans="1:63" ht="12.75">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c r="BA543" s="11"/>
      <c r="BB543" s="11"/>
      <c r="BC543" s="11"/>
      <c r="BD543" s="11"/>
      <c r="BE543" s="11"/>
      <c r="BF543" s="11"/>
      <c r="BG543" s="11"/>
      <c r="BH543" s="11"/>
      <c r="BI543" s="11"/>
      <c r="BJ543" s="11"/>
      <c r="BK543" s="11"/>
    </row>
    <row r="544" spans="1:63" ht="12.75">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c r="BA544" s="11"/>
      <c r="BB544" s="11"/>
      <c r="BC544" s="11"/>
      <c r="BD544" s="11"/>
      <c r="BE544" s="11"/>
      <c r="BF544" s="11"/>
      <c r="BG544" s="11"/>
      <c r="BH544" s="11"/>
      <c r="BI544" s="11"/>
      <c r="BJ544" s="11"/>
      <c r="BK544" s="11"/>
    </row>
    <row r="545" spans="1:63" ht="12.7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c r="BA545" s="11"/>
      <c r="BB545" s="11"/>
      <c r="BC545" s="11"/>
      <c r="BD545" s="11"/>
      <c r="BE545" s="11"/>
      <c r="BF545" s="11"/>
      <c r="BG545" s="11"/>
      <c r="BH545" s="11"/>
      <c r="BI545" s="11"/>
      <c r="BJ545" s="11"/>
      <c r="BK545" s="11"/>
    </row>
    <row r="546" spans="1:63" ht="12.75">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11"/>
      <c r="BA546" s="11"/>
      <c r="BB546" s="11"/>
      <c r="BC546" s="11"/>
      <c r="BD546" s="11"/>
      <c r="BE546" s="11"/>
      <c r="BF546" s="11"/>
      <c r="BG546" s="11"/>
      <c r="BH546" s="11"/>
      <c r="BI546" s="11"/>
      <c r="BJ546" s="11"/>
      <c r="BK546" s="11"/>
    </row>
    <row r="547" spans="1:63" ht="12.75">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c r="BA547" s="11"/>
      <c r="BB547" s="11"/>
      <c r="BC547" s="11"/>
      <c r="BD547" s="11"/>
      <c r="BE547" s="11"/>
      <c r="BF547" s="11"/>
      <c r="BG547" s="11"/>
      <c r="BH547" s="11"/>
      <c r="BI547" s="11"/>
      <c r="BJ547" s="11"/>
      <c r="BK547" s="11"/>
    </row>
    <row r="548" spans="1:63" ht="12.75">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c r="BA548" s="11"/>
      <c r="BB548" s="11"/>
      <c r="BC548" s="11"/>
      <c r="BD548" s="11"/>
      <c r="BE548" s="11"/>
      <c r="BF548" s="11"/>
      <c r="BG548" s="11"/>
      <c r="BH548" s="11"/>
      <c r="BI548" s="11"/>
      <c r="BJ548" s="11"/>
      <c r="BK548" s="11"/>
    </row>
    <row r="549" spans="1:63" ht="12.75">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11"/>
      <c r="BA549" s="11"/>
      <c r="BB549" s="11"/>
      <c r="BC549" s="11"/>
      <c r="BD549" s="11"/>
      <c r="BE549" s="11"/>
      <c r="BF549" s="11"/>
      <c r="BG549" s="11"/>
      <c r="BH549" s="11"/>
      <c r="BI549" s="11"/>
      <c r="BJ549" s="11"/>
      <c r="BK549" s="11"/>
    </row>
    <row r="550" spans="1:63" ht="12.75">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c r="BA550" s="11"/>
      <c r="BB550" s="11"/>
      <c r="BC550" s="11"/>
      <c r="BD550" s="11"/>
      <c r="BE550" s="11"/>
      <c r="BF550" s="11"/>
      <c r="BG550" s="11"/>
      <c r="BH550" s="11"/>
      <c r="BI550" s="11"/>
      <c r="BJ550" s="11"/>
      <c r="BK550" s="11"/>
    </row>
    <row r="551" spans="1:63" ht="12.75">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c r="BA551" s="11"/>
      <c r="BB551" s="11"/>
      <c r="BC551" s="11"/>
      <c r="BD551" s="11"/>
      <c r="BE551" s="11"/>
      <c r="BF551" s="11"/>
      <c r="BG551" s="11"/>
      <c r="BH551" s="11"/>
      <c r="BI551" s="11"/>
      <c r="BJ551" s="11"/>
      <c r="BK551" s="11"/>
    </row>
    <row r="552" spans="1:63" ht="12.75">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11"/>
      <c r="BA552" s="11"/>
      <c r="BB552" s="11"/>
      <c r="BC552" s="11"/>
      <c r="BD552" s="11"/>
      <c r="BE552" s="11"/>
      <c r="BF552" s="11"/>
      <c r="BG552" s="11"/>
      <c r="BH552" s="11"/>
      <c r="BI552" s="11"/>
      <c r="BJ552" s="11"/>
      <c r="BK552" s="11"/>
    </row>
    <row r="553" spans="1:63" ht="12.75">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c r="BA553" s="11"/>
      <c r="BB553" s="11"/>
      <c r="BC553" s="11"/>
      <c r="BD553" s="11"/>
      <c r="BE553" s="11"/>
      <c r="BF553" s="11"/>
      <c r="BG553" s="11"/>
      <c r="BH553" s="11"/>
      <c r="BI553" s="11"/>
      <c r="BJ553" s="11"/>
      <c r="BK553" s="11"/>
    </row>
    <row r="554" spans="1:63" ht="12.75">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c r="BA554" s="11"/>
      <c r="BB554" s="11"/>
      <c r="BC554" s="11"/>
      <c r="BD554" s="11"/>
      <c r="BE554" s="11"/>
      <c r="BF554" s="11"/>
      <c r="BG554" s="11"/>
      <c r="BH554" s="11"/>
      <c r="BI554" s="11"/>
      <c r="BJ554" s="11"/>
      <c r="BK554" s="11"/>
    </row>
    <row r="555" spans="1:63" ht="12.7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c r="BA555" s="11"/>
      <c r="BB555" s="11"/>
      <c r="BC555" s="11"/>
      <c r="BD555" s="11"/>
      <c r="BE555" s="11"/>
      <c r="BF555" s="11"/>
      <c r="BG555" s="11"/>
      <c r="BH555" s="11"/>
      <c r="BI555" s="11"/>
      <c r="BJ555" s="11"/>
      <c r="BK555" s="11"/>
    </row>
    <row r="556" spans="1:63" ht="12.75">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c r="BA556" s="11"/>
      <c r="BB556" s="11"/>
      <c r="BC556" s="11"/>
      <c r="BD556" s="11"/>
      <c r="BE556" s="11"/>
      <c r="BF556" s="11"/>
      <c r="BG556" s="11"/>
      <c r="BH556" s="11"/>
      <c r="BI556" s="11"/>
      <c r="BJ556" s="11"/>
      <c r="BK556" s="11"/>
    </row>
    <row r="557" spans="1:63" ht="12.75">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c r="AE557" s="11"/>
      <c r="AF557" s="11"/>
      <c r="AG557" s="11"/>
      <c r="AH557" s="11"/>
      <c r="AI557" s="11"/>
      <c r="AJ557" s="11"/>
      <c r="AK557" s="11"/>
      <c r="AL557" s="11"/>
      <c r="AM557" s="11"/>
      <c r="AN557" s="11"/>
      <c r="AO557" s="11"/>
      <c r="AP557" s="11"/>
      <c r="AQ557" s="11"/>
      <c r="AR557" s="11"/>
      <c r="AS557" s="11"/>
      <c r="AT557" s="11"/>
      <c r="AU557" s="11"/>
      <c r="AV557" s="11"/>
      <c r="AW557" s="11"/>
      <c r="AX557" s="11"/>
      <c r="AY557" s="11"/>
      <c r="AZ557" s="11"/>
      <c r="BA557" s="11"/>
      <c r="BB557" s="11"/>
      <c r="BC557" s="11"/>
      <c r="BD557" s="11"/>
      <c r="BE557" s="11"/>
      <c r="BF557" s="11"/>
      <c r="BG557" s="11"/>
      <c r="BH557" s="11"/>
      <c r="BI557" s="11"/>
      <c r="BJ557" s="11"/>
      <c r="BK557" s="11"/>
    </row>
    <row r="558" spans="1:63" ht="12.75">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c r="BA558" s="11"/>
      <c r="BB558" s="11"/>
      <c r="BC558" s="11"/>
      <c r="BD558" s="11"/>
      <c r="BE558" s="11"/>
      <c r="BF558" s="11"/>
      <c r="BG558" s="11"/>
      <c r="BH558" s="11"/>
      <c r="BI558" s="11"/>
      <c r="BJ558" s="11"/>
      <c r="BK558" s="11"/>
    </row>
    <row r="559" spans="1:63" ht="12.75">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c r="BA559" s="11"/>
      <c r="BB559" s="11"/>
      <c r="BC559" s="11"/>
      <c r="BD559" s="11"/>
      <c r="BE559" s="11"/>
      <c r="BF559" s="11"/>
      <c r="BG559" s="11"/>
      <c r="BH559" s="11"/>
      <c r="BI559" s="11"/>
      <c r="BJ559" s="11"/>
      <c r="BK559" s="11"/>
    </row>
    <row r="560" spans="1:63" ht="12.75">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11"/>
      <c r="BA560" s="11"/>
      <c r="BB560" s="11"/>
      <c r="BC560" s="11"/>
      <c r="BD560" s="11"/>
      <c r="BE560" s="11"/>
      <c r="BF560" s="11"/>
      <c r="BG560" s="11"/>
      <c r="BH560" s="11"/>
      <c r="BI560" s="11"/>
      <c r="BJ560" s="11"/>
      <c r="BK560" s="11"/>
    </row>
    <row r="561" spans="1:63" ht="12.75">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c r="BA561" s="11"/>
      <c r="BB561" s="11"/>
      <c r="BC561" s="11"/>
      <c r="BD561" s="11"/>
      <c r="BE561" s="11"/>
      <c r="BF561" s="11"/>
      <c r="BG561" s="11"/>
      <c r="BH561" s="11"/>
      <c r="BI561" s="11"/>
      <c r="BJ561" s="11"/>
      <c r="BK561" s="11"/>
    </row>
    <row r="562" spans="1:63" ht="12.75">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c r="BA562" s="11"/>
      <c r="BB562" s="11"/>
      <c r="BC562" s="11"/>
      <c r="BD562" s="11"/>
      <c r="BE562" s="11"/>
      <c r="BF562" s="11"/>
      <c r="BG562" s="11"/>
      <c r="BH562" s="11"/>
      <c r="BI562" s="11"/>
      <c r="BJ562" s="11"/>
      <c r="BK562" s="11"/>
    </row>
    <row r="563" spans="1:63" ht="12.75">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11"/>
      <c r="BA563" s="11"/>
      <c r="BB563" s="11"/>
      <c r="BC563" s="11"/>
      <c r="BD563" s="11"/>
      <c r="BE563" s="11"/>
      <c r="BF563" s="11"/>
      <c r="BG563" s="11"/>
      <c r="BH563" s="11"/>
      <c r="BI563" s="11"/>
      <c r="BJ563" s="11"/>
      <c r="BK563" s="11"/>
    </row>
    <row r="564" spans="1:63" ht="12.75">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c r="BA564" s="11"/>
      <c r="BB564" s="11"/>
      <c r="BC564" s="11"/>
      <c r="BD564" s="11"/>
      <c r="BE564" s="11"/>
      <c r="BF564" s="11"/>
      <c r="BG564" s="11"/>
      <c r="BH564" s="11"/>
      <c r="BI564" s="11"/>
      <c r="BJ564" s="11"/>
      <c r="BK564" s="11"/>
    </row>
    <row r="565" spans="1:63" ht="12.7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c r="BA565" s="11"/>
      <c r="BB565" s="11"/>
      <c r="BC565" s="11"/>
      <c r="BD565" s="11"/>
      <c r="BE565" s="11"/>
      <c r="BF565" s="11"/>
      <c r="BG565" s="11"/>
      <c r="BH565" s="11"/>
      <c r="BI565" s="11"/>
      <c r="BJ565" s="11"/>
      <c r="BK565" s="11"/>
    </row>
    <row r="566" spans="1:63" ht="12.75">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11"/>
      <c r="BA566" s="11"/>
      <c r="BB566" s="11"/>
      <c r="BC566" s="11"/>
      <c r="BD566" s="11"/>
      <c r="BE566" s="11"/>
      <c r="BF566" s="11"/>
      <c r="BG566" s="11"/>
      <c r="BH566" s="11"/>
      <c r="BI566" s="11"/>
      <c r="BJ566" s="11"/>
      <c r="BK566" s="11"/>
    </row>
    <row r="567" spans="1:63" ht="12.75">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c r="BA567" s="11"/>
      <c r="BB567" s="11"/>
      <c r="BC567" s="11"/>
      <c r="BD567" s="11"/>
      <c r="BE567" s="11"/>
      <c r="BF567" s="11"/>
      <c r="BG567" s="11"/>
      <c r="BH567" s="11"/>
      <c r="BI567" s="11"/>
      <c r="BJ567" s="11"/>
      <c r="BK567" s="11"/>
    </row>
    <row r="568" spans="1:63" ht="12.75">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c r="BA568" s="11"/>
      <c r="BB568" s="11"/>
      <c r="BC568" s="11"/>
      <c r="BD568" s="11"/>
      <c r="BE568" s="11"/>
      <c r="BF568" s="11"/>
      <c r="BG568" s="11"/>
      <c r="BH568" s="11"/>
      <c r="BI568" s="11"/>
      <c r="BJ568" s="11"/>
      <c r="BK568" s="11"/>
    </row>
    <row r="569" spans="1:63" ht="12.75">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c r="BA569" s="11"/>
      <c r="BB569" s="11"/>
      <c r="BC569" s="11"/>
      <c r="BD569" s="11"/>
      <c r="BE569" s="11"/>
      <c r="BF569" s="11"/>
      <c r="BG569" s="11"/>
      <c r="BH569" s="11"/>
      <c r="BI569" s="11"/>
      <c r="BJ569" s="11"/>
      <c r="BK569" s="11"/>
    </row>
    <row r="570" spans="1:63" ht="12.75">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11"/>
      <c r="BA570" s="11"/>
      <c r="BB570" s="11"/>
      <c r="BC570" s="11"/>
      <c r="BD570" s="11"/>
      <c r="BE570" s="11"/>
      <c r="BF570" s="11"/>
      <c r="BG570" s="11"/>
      <c r="BH570" s="11"/>
      <c r="BI570" s="11"/>
      <c r="BJ570" s="11"/>
      <c r="BK570" s="11"/>
    </row>
    <row r="571" spans="1:63" ht="12.75">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c r="BA571" s="11"/>
      <c r="BB571" s="11"/>
      <c r="BC571" s="11"/>
      <c r="BD571" s="11"/>
      <c r="BE571" s="11"/>
      <c r="BF571" s="11"/>
      <c r="BG571" s="11"/>
      <c r="BH571" s="11"/>
      <c r="BI571" s="11"/>
      <c r="BJ571" s="11"/>
      <c r="BK571" s="11"/>
    </row>
    <row r="572" spans="1:63" ht="12.75">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c r="BA572" s="11"/>
      <c r="BB572" s="11"/>
      <c r="BC572" s="11"/>
      <c r="BD572" s="11"/>
      <c r="BE572" s="11"/>
      <c r="BF572" s="11"/>
      <c r="BG572" s="11"/>
      <c r="BH572" s="11"/>
      <c r="BI572" s="11"/>
      <c r="BJ572" s="11"/>
      <c r="BK572" s="11"/>
    </row>
    <row r="573" spans="1:63" ht="12.75">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c r="BA573" s="11"/>
      <c r="BB573" s="11"/>
      <c r="BC573" s="11"/>
      <c r="BD573" s="11"/>
      <c r="BE573" s="11"/>
      <c r="BF573" s="11"/>
      <c r="BG573" s="11"/>
      <c r="BH573" s="11"/>
      <c r="BI573" s="11"/>
      <c r="BJ573" s="11"/>
      <c r="BK573" s="11"/>
    </row>
    <row r="574" spans="1:63" ht="12.75">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c r="AE574" s="11"/>
      <c r="AF574" s="11"/>
      <c r="AG574" s="11"/>
      <c r="AH574" s="11"/>
      <c r="AI574" s="11"/>
      <c r="AJ574" s="11"/>
      <c r="AK574" s="11"/>
      <c r="AL574" s="11"/>
      <c r="AM574" s="11"/>
      <c r="AN574" s="11"/>
      <c r="AO574" s="11"/>
      <c r="AP574" s="11"/>
      <c r="AQ574" s="11"/>
      <c r="AR574" s="11"/>
      <c r="AS574" s="11"/>
      <c r="AT574" s="11"/>
      <c r="AU574" s="11"/>
      <c r="AV574" s="11"/>
      <c r="AW574" s="11"/>
      <c r="AX574" s="11"/>
      <c r="AY574" s="11"/>
      <c r="AZ574" s="11"/>
      <c r="BA574" s="11"/>
      <c r="BB574" s="11"/>
      <c r="BC574" s="11"/>
      <c r="BD574" s="11"/>
      <c r="BE574" s="11"/>
      <c r="BF574" s="11"/>
      <c r="BG574" s="11"/>
      <c r="BH574" s="11"/>
      <c r="BI574" s="11"/>
      <c r="BJ574" s="11"/>
      <c r="BK574" s="11"/>
    </row>
    <row r="575" spans="1:63" ht="12.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c r="BA575" s="11"/>
      <c r="BB575" s="11"/>
      <c r="BC575" s="11"/>
      <c r="BD575" s="11"/>
      <c r="BE575" s="11"/>
      <c r="BF575" s="11"/>
      <c r="BG575" s="11"/>
      <c r="BH575" s="11"/>
      <c r="BI575" s="11"/>
      <c r="BJ575" s="11"/>
      <c r="BK575" s="11"/>
    </row>
    <row r="576" spans="1:63" ht="12.75">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c r="BA576" s="11"/>
      <c r="BB576" s="11"/>
      <c r="BC576" s="11"/>
      <c r="BD576" s="11"/>
      <c r="BE576" s="11"/>
      <c r="BF576" s="11"/>
      <c r="BG576" s="11"/>
      <c r="BH576" s="11"/>
      <c r="BI576" s="11"/>
      <c r="BJ576" s="11"/>
      <c r="BK576" s="11"/>
    </row>
    <row r="577" spans="1:63" ht="12.75">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11"/>
      <c r="BA577" s="11"/>
      <c r="BB577" s="11"/>
      <c r="BC577" s="11"/>
      <c r="BD577" s="11"/>
      <c r="BE577" s="11"/>
      <c r="BF577" s="11"/>
      <c r="BG577" s="11"/>
      <c r="BH577" s="11"/>
      <c r="BI577" s="11"/>
      <c r="BJ577" s="11"/>
      <c r="BK577" s="11"/>
    </row>
    <row r="578" spans="1:63" ht="12.75">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c r="BA578" s="11"/>
      <c r="BB578" s="11"/>
      <c r="BC578" s="11"/>
      <c r="BD578" s="11"/>
      <c r="BE578" s="11"/>
      <c r="BF578" s="11"/>
      <c r="BG578" s="11"/>
      <c r="BH578" s="11"/>
      <c r="BI578" s="11"/>
      <c r="BJ578" s="11"/>
      <c r="BK578" s="11"/>
    </row>
    <row r="579" spans="1:63" ht="12.75">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c r="BC579" s="11"/>
      <c r="BD579" s="11"/>
      <c r="BE579" s="11"/>
      <c r="BF579" s="11"/>
      <c r="BG579" s="11"/>
      <c r="BH579" s="11"/>
      <c r="BI579" s="11"/>
      <c r="BJ579" s="11"/>
      <c r="BK579" s="11"/>
    </row>
    <row r="580" spans="1:63" ht="12.75">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c r="AE580" s="11"/>
      <c r="AF580" s="11"/>
      <c r="AG580" s="11"/>
      <c r="AH580" s="11"/>
      <c r="AI580" s="11"/>
      <c r="AJ580" s="11"/>
      <c r="AK580" s="11"/>
      <c r="AL580" s="11"/>
      <c r="AM580" s="11"/>
      <c r="AN580" s="11"/>
      <c r="AO580" s="11"/>
      <c r="AP580" s="11"/>
      <c r="AQ580" s="11"/>
      <c r="AR580" s="11"/>
      <c r="AS580" s="11"/>
      <c r="AT580" s="11"/>
      <c r="AU580" s="11"/>
      <c r="AV580" s="11"/>
      <c r="AW580" s="11"/>
      <c r="AX580" s="11"/>
      <c r="AY580" s="11"/>
      <c r="AZ580" s="11"/>
      <c r="BA580" s="11"/>
      <c r="BB580" s="11"/>
      <c r="BC580" s="11"/>
      <c r="BD580" s="11"/>
      <c r="BE580" s="11"/>
      <c r="BF580" s="11"/>
      <c r="BG580" s="11"/>
      <c r="BH580" s="11"/>
      <c r="BI580" s="11"/>
      <c r="BJ580" s="11"/>
      <c r="BK580" s="11"/>
    </row>
    <row r="581" spans="1:63" ht="12.75">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c r="BA581" s="11"/>
      <c r="BB581" s="11"/>
      <c r="BC581" s="11"/>
      <c r="BD581" s="11"/>
      <c r="BE581" s="11"/>
      <c r="BF581" s="11"/>
      <c r="BG581" s="11"/>
      <c r="BH581" s="11"/>
      <c r="BI581" s="11"/>
      <c r="BJ581" s="11"/>
      <c r="BK581" s="11"/>
    </row>
    <row r="582" spans="1:63" ht="12.75">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c r="AE582" s="11"/>
      <c r="AF582" s="11"/>
      <c r="AG582" s="11"/>
      <c r="AH582" s="11"/>
      <c r="AI582" s="11"/>
      <c r="AJ582" s="11"/>
      <c r="AK582" s="11"/>
      <c r="AL582" s="11"/>
      <c r="AM582" s="11"/>
      <c r="AN582" s="11"/>
      <c r="AO582" s="11"/>
      <c r="AP582" s="11"/>
      <c r="AQ582" s="11"/>
      <c r="AR582" s="11"/>
      <c r="AS582" s="11"/>
      <c r="AT582" s="11"/>
      <c r="AU582" s="11"/>
      <c r="AV582" s="11"/>
      <c r="AW582" s="11"/>
      <c r="AX582" s="11"/>
      <c r="AY582" s="11"/>
      <c r="AZ582" s="11"/>
      <c r="BA582" s="11"/>
      <c r="BB582" s="11"/>
      <c r="BC582" s="11"/>
      <c r="BD582" s="11"/>
      <c r="BE582" s="11"/>
      <c r="BF582" s="11"/>
      <c r="BG582" s="11"/>
      <c r="BH582" s="11"/>
      <c r="BI582" s="11"/>
      <c r="BJ582" s="11"/>
      <c r="BK582" s="11"/>
    </row>
    <row r="583" spans="1:63" ht="12.75">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c r="BA583" s="11"/>
      <c r="BB583" s="11"/>
      <c r="BC583" s="11"/>
      <c r="BD583" s="11"/>
      <c r="BE583" s="11"/>
      <c r="BF583" s="11"/>
      <c r="BG583" s="11"/>
      <c r="BH583" s="11"/>
      <c r="BI583" s="11"/>
      <c r="BJ583" s="11"/>
      <c r="BK583" s="11"/>
    </row>
    <row r="584" spans="1:63" ht="12.75">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c r="BA584" s="11"/>
      <c r="BB584" s="11"/>
      <c r="BC584" s="11"/>
      <c r="BD584" s="11"/>
      <c r="BE584" s="11"/>
      <c r="BF584" s="11"/>
      <c r="BG584" s="11"/>
      <c r="BH584" s="11"/>
      <c r="BI584" s="11"/>
      <c r="BJ584" s="11"/>
      <c r="BK584" s="11"/>
    </row>
    <row r="585" spans="1:63" ht="12.7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c r="BA585" s="11"/>
      <c r="BB585" s="11"/>
      <c r="BC585" s="11"/>
      <c r="BD585" s="11"/>
      <c r="BE585" s="11"/>
      <c r="BF585" s="11"/>
      <c r="BG585" s="11"/>
      <c r="BH585" s="11"/>
      <c r="BI585" s="11"/>
      <c r="BJ585" s="11"/>
      <c r="BK585" s="11"/>
    </row>
    <row r="586" spans="1:63" ht="12.75">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c r="AE586" s="11"/>
      <c r="AF586" s="11"/>
      <c r="AG586" s="11"/>
      <c r="AH586" s="11"/>
      <c r="AI586" s="11"/>
      <c r="AJ586" s="11"/>
      <c r="AK586" s="11"/>
      <c r="AL586" s="11"/>
      <c r="AM586" s="11"/>
      <c r="AN586" s="11"/>
      <c r="AO586" s="11"/>
      <c r="AP586" s="11"/>
      <c r="AQ586" s="11"/>
      <c r="AR586" s="11"/>
      <c r="AS586" s="11"/>
      <c r="AT586" s="11"/>
      <c r="AU586" s="11"/>
      <c r="AV586" s="11"/>
      <c r="AW586" s="11"/>
      <c r="AX586" s="11"/>
      <c r="AY586" s="11"/>
      <c r="AZ586" s="11"/>
      <c r="BA586" s="11"/>
      <c r="BB586" s="11"/>
      <c r="BC586" s="11"/>
      <c r="BD586" s="11"/>
      <c r="BE586" s="11"/>
      <c r="BF586" s="11"/>
      <c r="BG586" s="11"/>
      <c r="BH586" s="11"/>
      <c r="BI586" s="11"/>
      <c r="BJ586" s="11"/>
      <c r="BK586" s="11"/>
    </row>
    <row r="587" spans="1:63" ht="12.75">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c r="BA587" s="11"/>
      <c r="BB587" s="11"/>
      <c r="BC587" s="11"/>
      <c r="BD587" s="11"/>
      <c r="BE587" s="11"/>
      <c r="BF587" s="11"/>
      <c r="BG587" s="11"/>
      <c r="BH587" s="11"/>
      <c r="BI587" s="11"/>
      <c r="BJ587" s="11"/>
      <c r="BK587" s="11"/>
    </row>
    <row r="588" spans="1:63" ht="12.75">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c r="BA588" s="11"/>
      <c r="BB588" s="11"/>
      <c r="BC588" s="11"/>
      <c r="BD588" s="11"/>
      <c r="BE588" s="11"/>
      <c r="BF588" s="11"/>
      <c r="BG588" s="11"/>
      <c r="BH588" s="11"/>
      <c r="BI588" s="11"/>
      <c r="BJ588" s="11"/>
      <c r="BK588" s="11"/>
    </row>
    <row r="589" spans="1:63" ht="12.75">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c r="BA589" s="11"/>
      <c r="BB589" s="11"/>
      <c r="BC589" s="11"/>
      <c r="BD589" s="11"/>
      <c r="BE589" s="11"/>
      <c r="BF589" s="11"/>
      <c r="BG589" s="11"/>
      <c r="BH589" s="11"/>
      <c r="BI589" s="11"/>
      <c r="BJ589" s="11"/>
      <c r="BK589" s="11"/>
    </row>
    <row r="590" spans="1:63" ht="12.75">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c r="AE590" s="11"/>
      <c r="AF590" s="11"/>
      <c r="AG590" s="11"/>
      <c r="AH590" s="11"/>
      <c r="AI590" s="11"/>
      <c r="AJ590" s="11"/>
      <c r="AK590" s="11"/>
      <c r="AL590" s="11"/>
      <c r="AM590" s="11"/>
      <c r="AN590" s="11"/>
      <c r="AO590" s="11"/>
      <c r="AP590" s="11"/>
      <c r="AQ590" s="11"/>
      <c r="AR590" s="11"/>
      <c r="AS590" s="11"/>
      <c r="AT590" s="11"/>
      <c r="AU590" s="11"/>
      <c r="AV590" s="11"/>
      <c r="AW590" s="11"/>
      <c r="AX590" s="11"/>
      <c r="AY590" s="11"/>
      <c r="AZ590" s="11"/>
      <c r="BA590" s="11"/>
      <c r="BB590" s="11"/>
      <c r="BC590" s="11"/>
      <c r="BD590" s="11"/>
      <c r="BE590" s="11"/>
      <c r="BF590" s="11"/>
      <c r="BG590" s="11"/>
      <c r="BH590" s="11"/>
      <c r="BI590" s="11"/>
      <c r="BJ590" s="11"/>
      <c r="BK590" s="11"/>
    </row>
    <row r="591" spans="1:63" ht="12.75">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c r="BA591" s="11"/>
      <c r="BB591" s="11"/>
      <c r="BC591" s="11"/>
      <c r="BD591" s="11"/>
      <c r="BE591" s="11"/>
      <c r="BF591" s="11"/>
      <c r="BG591" s="11"/>
      <c r="BH591" s="11"/>
      <c r="BI591" s="11"/>
      <c r="BJ591" s="11"/>
      <c r="BK591" s="11"/>
    </row>
    <row r="592" spans="1:63" ht="12.75">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c r="BA592" s="11"/>
      <c r="BB592" s="11"/>
      <c r="BC592" s="11"/>
      <c r="BD592" s="11"/>
      <c r="BE592" s="11"/>
      <c r="BF592" s="11"/>
      <c r="BG592" s="11"/>
      <c r="BH592" s="11"/>
      <c r="BI592" s="11"/>
      <c r="BJ592" s="11"/>
      <c r="BK592" s="11"/>
    </row>
    <row r="593" spans="1:63" ht="12.75">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c r="BA593" s="11"/>
      <c r="BB593" s="11"/>
      <c r="BC593" s="11"/>
      <c r="BD593" s="11"/>
      <c r="BE593" s="11"/>
      <c r="BF593" s="11"/>
      <c r="BG593" s="11"/>
      <c r="BH593" s="11"/>
      <c r="BI593" s="11"/>
      <c r="BJ593" s="11"/>
      <c r="BK593" s="11"/>
    </row>
    <row r="594" spans="1:63" ht="12.75">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c r="AE594" s="11"/>
      <c r="AF594" s="11"/>
      <c r="AG594" s="11"/>
      <c r="AH594" s="11"/>
      <c r="AI594" s="11"/>
      <c r="AJ594" s="11"/>
      <c r="AK594" s="11"/>
      <c r="AL594" s="11"/>
      <c r="AM594" s="11"/>
      <c r="AN594" s="11"/>
      <c r="AO594" s="11"/>
      <c r="AP594" s="11"/>
      <c r="AQ594" s="11"/>
      <c r="AR594" s="11"/>
      <c r="AS594" s="11"/>
      <c r="AT594" s="11"/>
      <c r="AU594" s="11"/>
      <c r="AV594" s="11"/>
      <c r="AW594" s="11"/>
      <c r="AX594" s="11"/>
      <c r="AY594" s="11"/>
      <c r="AZ594" s="11"/>
      <c r="BA594" s="11"/>
      <c r="BB594" s="11"/>
      <c r="BC594" s="11"/>
      <c r="BD594" s="11"/>
      <c r="BE594" s="11"/>
      <c r="BF594" s="11"/>
      <c r="BG594" s="11"/>
      <c r="BH594" s="11"/>
      <c r="BI594" s="11"/>
      <c r="BJ594" s="11"/>
      <c r="BK594" s="11"/>
    </row>
    <row r="595" spans="1:63" ht="12.7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c r="BA595" s="11"/>
      <c r="BB595" s="11"/>
      <c r="BC595" s="11"/>
      <c r="BD595" s="11"/>
      <c r="BE595" s="11"/>
      <c r="BF595" s="11"/>
      <c r="BG595" s="11"/>
      <c r="BH595" s="11"/>
      <c r="BI595" s="11"/>
      <c r="BJ595" s="11"/>
      <c r="BK595" s="11"/>
    </row>
    <row r="596" spans="1:63" ht="12.75">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c r="BA596" s="11"/>
      <c r="BB596" s="11"/>
      <c r="BC596" s="11"/>
      <c r="BD596" s="11"/>
      <c r="BE596" s="11"/>
      <c r="BF596" s="11"/>
      <c r="BG596" s="11"/>
      <c r="BH596" s="11"/>
      <c r="BI596" s="11"/>
      <c r="BJ596" s="11"/>
      <c r="BK596" s="11"/>
    </row>
    <row r="597" spans="1:63" ht="12.75">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c r="BA597" s="11"/>
      <c r="BB597" s="11"/>
      <c r="BC597" s="11"/>
      <c r="BD597" s="11"/>
      <c r="BE597" s="11"/>
      <c r="BF597" s="11"/>
      <c r="BG597" s="11"/>
      <c r="BH597" s="11"/>
      <c r="BI597" s="11"/>
      <c r="BJ597" s="11"/>
      <c r="BK597" s="11"/>
    </row>
    <row r="598" spans="1:63" ht="12.75">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c r="AE598" s="11"/>
      <c r="AF598" s="11"/>
      <c r="AG598" s="11"/>
      <c r="AH598" s="11"/>
      <c r="AI598" s="11"/>
      <c r="AJ598" s="11"/>
      <c r="AK598" s="11"/>
      <c r="AL598" s="11"/>
      <c r="AM598" s="11"/>
      <c r="AN598" s="11"/>
      <c r="AO598" s="11"/>
      <c r="AP598" s="11"/>
      <c r="AQ598" s="11"/>
      <c r="AR598" s="11"/>
      <c r="AS598" s="11"/>
      <c r="AT598" s="11"/>
      <c r="AU598" s="11"/>
      <c r="AV598" s="11"/>
      <c r="AW598" s="11"/>
      <c r="AX598" s="11"/>
      <c r="AY598" s="11"/>
      <c r="AZ598" s="11"/>
      <c r="BA598" s="11"/>
      <c r="BB598" s="11"/>
      <c r="BC598" s="11"/>
      <c r="BD598" s="11"/>
      <c r="BE598" s="11"/>
      <c r="BF598" s="11"/>
      <c r="BG598" s="11"/>
      <c r="BH598" s="11"/>
      <c r="BI598" s="11"/>
      <c r="BJ598" s="11"/>
      <c r="BK598" s="11"/>
    </row>
    <row r="599" spans="1:63" ht="12.75">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c r="BA599" s="11"/>
      <c r="BB599" s="11"/>
      <c r="BC599" s="11"/>
      <c r="BD599" s="11"/>
      <c r="BE599" s="11"/>
      <c r="BF599" s="11"/>
      <c r="BG599" s="11"/>
      <c r="BH599" s="11"/>
      <c r="BI599" s="11"/>
      <c r="BJ599" s="11"/>
      <c r="BK599" s="11"/>
    </row>
    <row r="600" spans="1:63" ht="12.75">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c r="BA600" s="11"/>
      <c r="BB600" s="11"/>
      <c r="BC600" s="11"/>
      <c r="BD600" s="11"/>
      <c r="BE600" s="11"/>
      <c r="BF600" s="11"/>
      <c r="BG600" s="11"/>
      <c r="BH600" s="11"/>
      <c r="BI600" s="11"/>
      <c r="BJ600" s="11"/>
      <c r="BK600" s="11"/>
    </row>
    <row r="601" spans="1:63" ht="12.75">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c r="BA601" s="11"/>
      <c r="BB601" s="11"/>
      <c r="BC601" s="11"/>
      <c r="BD601" s="11"/>
      <c r="BE601" s="11"/>
      <c r="BF601" s="11"/>
      <c r="BG601" s="11"/>
      <c r="BH601" s="11"/>
      <c r="BI601" s="11"/>
      <c r="BJ601" s="11"/>
      <c r="BK601" s="11"/>
    </row>
    <row r="602" spans="1:63" ht="12.75">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c r="AE602" s="11"/>
      <c r="AF602" s="11"/>
      <c r="AG602" s="11"/>
      <c r="AH602" s="11"/>
      <c r="AI602" s="11"/>
      <c r="AJ602" s="11"/>
      <c r="AK602" s="11"/>
      <c r="AL602" s="11"/>
      <c r="AM602" s="11"/>
      <c r="AN602" s="11"/>
      <c r="AO602" s="11"/>
      <c r="AP602" s="11"/>
      <c r="AQ602" s="11"/>
      <c r="AR602" s="11"/>
      <c r="AS602" s="11"/>
      <c r="AT602" s="11"/>
      <c r="AU602" s="11"/>
      <c r="AV602" s="11"/>
      <c r="AW602" s="11"/>
      <c r="AX602" s="11"/>
      <c r="AY602" s="11"/>
      <c r="AZ602" s="11"/>
      <c r="BA602" s="11"/>
      <c r="BB602" s="11"/>
      <c r="BC602" s="11"/>
      <c r="BD602" s="11"/>
      <c r="BE602" s="11"/>
      <c r="BF602" s="11"/>
      <c r="BG602" s="11"/>
      <c r="BH602" s="11"/>
      <c r="BI602" s="11"/>
      <c r="BJ602" s="11"/>
      <c r="BK602" s="11"/>
    </row>
    <row r="603" spans="1:63" ht="12.75">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c r="BA603" s="11"/>
      <c r="BB603" s="11"/>
      <c r="BC603" s="11"/>
      <c r="BD603" s="11"/>
      <c r="BE603" s="11"/>
      <c r="BF603" s="11"/>
      <c r="BG603" s="11"/>
      <c r="BH603" s="11"/>
      <c r="BI603" s="11"/>
      <c r="BJ603" s="11"/>
      <c r="BK603" s="11"/>
    </row>
    <row r="604" spans="1:63" ht="12.75">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c r="BA604" s="11"/>
      <c r="BB604" s="11"/>
      <c r="BC604" s="11"/>
      <c r="BD604" s="11"/>
      <c r="BE604" s="11"/>
      <c r="BF604" s="11"/>
      <c r="BG604" s="11"/>
      <c r="BH604" s="11"/>
      <c r="BI604" s="11"/>
      <c r="BJ604" s="11"/>
      <c r="BK604" s="11"/>
    </row>
    <row r="605" spans="1:63" ht="12.7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c r="BA605" s="11"/>
      <c r="BB605" s="11"/>
      <c r="BC605" s="11"/>
      <c r="BD605" s="11"/>
      <c r="BE605" s="11"/>
      <c r="BF605" s="11"/>
      <c r="BG605" s="11"/>
      <c r="BH605" s="11"/>
      <c r="BI605" s="11"/>
      <c r="BJ605" s="11"/>
      <c r="BK605" s="11"/>
    </row>
    <row r="606" spans="1:63" ht="12.75">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c r="AE606" s="11"/>
      <c r="AF606" s="11"/>
      <c r="AG606" s="11"/>
      <c r="AH606" s="11"/>
      <c r="AI606" s="11"/>
      <c r="AJ606" s="11"/>
      <c r="AK606" s="11"/>
      <c r="AL606" s="11"/>
      <c r="AM606" s="11"/>
      <c r="AN606" s="11"/>
      <c r="AO606" s="11"/>
      <c r="AP606" s="11"/>
      <c r="AQ606" s="11"/>
      <c r="AR606" s="11"/>
      <c r="AS606" s="11"/>
      <c r="AT606" s="11"/>
      <c r="AU606" s="11"/>
      <c r="AV606" s="11"/>
      <c r="AW606" s="11"/>
      <c r="AX606" s="11"/>
      <c r="AY606" s="11"/>
      <c r="AZ606" s="11"/>
      <c r="BA606" s="11"/>
      <c r="BB606" s="11"/>
      <c r="BC606" s="11"/>
      <c r="BD606" s="11"/>
      <c r="BE606" s="11"/>
      <c r="BF606" s="11"/>
      <c r="BG606" s="11"/>
      <c r="BH606" s="11"/>
      <c r="BI606" s="11"/>
      <c r="BJ606" s="11"/>
      <c r="BK606" s="11"/>
    </row>
    <row r="607" spans="1:63" ht="12.75">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c r="BA607" s="11"/>
      <c r="BB607" s="11"/>
      <c r="BC607" s="11"/>
      <c r="BD607" s="11"/>
      <c r="BE607" s="11"/>
      <c r="BF607" s="11"/>
      <c r="BG607" s="11"/>
      <c r="BH607" s="11"/>
      <c r="BI607" s="11"/>
      <c r="BJ607" s="11"/>
      <c r="BK607" s="11"/>
    </row>
    <row r="608" spans="1:63" ht="12.75">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c r="BA608" s="11"/>
      <c r="BB608" s="11"/>
      <c r="BC608" s="11"/>
      <c r="BD608" s="11"/>
      <c r="BE608" s="11"/>
      <c r="BF608" s="11"/>
      <c r="BG608" s="11"/>
      <c r="BH608" s="11"/>
      <c r="BI608" s="11"/>
      <c r="BJ608" s="11"/>
      <c r="BK608" s="11"/>
    </row>
    <row r="609" spans="1:63" ht="12.75">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c r="BA609" s="11"/>
      <c r="BB609" s="11"/>
      <c r="BC609" s="11"/>
      <c r="BD609" s="11"/>
      <c r="BE609" s="11"/>
      <c r="BF609" s="11"/>
      <c r="BG609" s="11"/>
      <c r="BH609" s="11"/>
      <c r="BI609" s="11"/>
      <c r="BJ609" s="11"/>
      <c r="BK609" s="11"/>
    </row>
    <row r="610" spans="1:63" ht="12.75">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c r="AE610" s="11"/>
      <c r="AF610" s="11"/>
      <c r="AG610" s="11"/>
      <c r="AH610" s="11"/>
      <c r="AI610" s="11"/>
      <c r="AJ610" s="11"/>
      <c r="AK610" s="11"/>
      <c r="AL610" s="11"/>
      <c r="AM610" s="11"/>
      <c r="AN610" s="11"/>
      <c r="AO610" s="11"/>
      <c r="AP610" s="11"/>
      <c r="AQ610" s="11"/>
      <c r="AR610" s="11"/>
      <c r="AS610" s="11"/>
      <c r="AT610" s="11"/>
      <c r="AU610" s="11"/>
      <c r="AV610" s="11"/>
      <c r="AW610" s="11"/>
      <c r="AX610" s="11"/>
      <c r="AY610" s="11"/>
      <c r="AZ610" s="11"/>
      <c r="BA610" s="11"/>
      <c r="BB610" s="11"/>
      <c r="BC610" s="11"/>
      <c r="BD610" s="11"/>
      <c r="BE610" s="11"/>
      <c r="BF610" s="11"/>
      <c r="BG610" s="11"/>
      <c r="BH610" s="11"/>
      <c r="BI610" s="11"/>
      <c r="BJ610" s="11"/>
      <c r="BK610" s="11"/>
    </row>
    <row r="611" spans="1:63" ht="12.75">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c r="BA611" s="11"/>
      <c r="BB611" s="11"/>
      <c r="BC611" s="11"/>
      <c r="BD611" s="11"/>
      <c r="BE611" s="11"/>
      <c r="BF611" s="11"/>
      <c r="BG611" s="11"/>
      <c r="BH611" s="11"/>
      <c r="BI611" s="11"/>
      <c r="BJ611" s="11"/>
      <c r="BK611" s="11"/>
    </row>
    <row r="612" spans="1:63" ht="12.75">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c r="BA612" s="11"/>
      <c r="BB612" s="11"/>
      <c r="BC612" s="11"/>
      <c r="BD612" s="11"/>
      <c r="BE612" s="11"/>
      <c r="BF612" s="11"/>
      <c r="BG612" s="11"/>
      <c r="BH612" s="11"/>
      <c r="BI612" s="11"/>
      <c r="BJ612" s="11"/>
      <c r="BK612" s="11"/>
    </row>
    <row r="613" spans="1:63" ht="12.75">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c r="BA613" s="11"/>
      <c r="BB613" s="11"/>
      <c r="BC613" s="11"/>
      <c r="BD613" s="11"/>
      <c r="BE613" s="11"/>
      <c r="BF613" s="11"/>
      <c r="BG613" s="11"/>
      <c r="BH613" s="11"/>
      <c r="BI613" s="11"/>
      <c r="BJ613" s="11"/>
      <c r="BK613" s="11"/>
    </row>
    <row r="614" spans="1:63" ht="12.75">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c r="AE614" s="11"/>
      <c r="AF614" s="11"/>
      <c r="AG614" s="11"/>
      <c r="AH614" s="11"/>
      <c r="AI614" s="11"/>
      <c r="AJ614" s="11"/>
      <c r="AK614" s="11"/>
      <c r="AL614" s="11"/>
      <c r="AM614" s="11"/>
      <c r="AN614" s="11"/>
      <c r="AO614" s="11"/>
      <c r="AP614" s="11"/>
      <c r="AQ614" s="11"/>
      <c r="AR614" s="11"/>
      <c r="AS614" s="11"/>
      <c r="AT614" s="11"/>
      <c r="AU614" s="11"/>
      <c r="AV614" s="11"/>
      <c r="AW614" s="11"/>
      <c r="AX614" s="11"/>
      <c r="AY614" s="11"/>
      <c r="AZ614" s="11"/>
      <c r="BA614" s="11"/>
      <c r="BB614" s="11"/>
      <c r="BC614" s="11"/>
      <c r="BD614" s="11"/>
      <c r="BE614" s="11"/>
      <c r="BF614" s="11"/>
      <c r="BG614" s="11"/>
      <c r="BH614" s="11"/>
      <c r="BI614" s="11"/>
      <c r="BJ614" s="11"/>
      <c r="BK614" s="11"/>
    </row>
    <row r="615" spans="1:63" ht="12.7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c r="BA615" s="11"/>
      <c r="BB615" s="11"/>
      <c r="BC615" s="11"/>
      <c r="BD615" s="11"/>
      <c r="BE615" s="11"/>
      <c r="BF615" s="11"/>
      <c r="BG615" s="11"/>
      <c r="BH615" s="11"/>
      <c r="BI615" s="11"/>
      <c r="BJ615" s="11"/>
      <c r="BK615" s="11"/>
    </row>
    <row r="616" spans="1:63" ht="12.75">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c r="BA616" s="11"/>
      <c r="BB616" s="11"/>
      <c r="BC616" s="11"/>
      <c r="BD616" s="11"/>
      <c r="BE616" s="11"/>
      <c r="BF616" s="11"/>
      <c r="BG616" s="11"/>
      <c r="BH616" s="11"/>
      <c r="BI616" s="11"/>
      <c r="BJ616" s="11"/>
      <c r="BK616" s="11"/>
    </row>
    <row r="617" spans="1:63" ht="12.75">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c r="BA617" s="11"/>
      <c r="BB617" s="11"/>
      <c r="BC617" s="11"/>
      <c r="BD617" s="11"/>
      <c r="BE617" s="11"/>
      <c r="BF617" s="11"/>
      <c r="BG617" s="11"/>
      <c r="BH617" s="11"/>
      <c r="BI617" s="11"/>
      <c r="BJ617" s="11"/>
      <c r="BK617" s="11"/>
    </row>
    <row r="618" spans="1:63" ht="12.75">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c r="AE618" s="11"/>
      <c r="AF618" s="11"/>
      <c r="AG618" s="11"/>
      <c r="AH618" s="11"/>
      <c r="AI618" s="11"/>
      <c r="AJ618" s="11"/>
      <c r="AK618" s="11"/>
      <c r="AL618" s="11"/>
      <c r="AM618" s="11"/>
      <c r="AN618" s="11"/>
      <c r="AO618" s="11"/>
      <c r="AP618" s="11"/>
      <c r="AQ618" s="11"/>
      <c r="AR618" s="11"/>
      <c r="AS618" s="11"/>
      <c r="AT618" s="11"/>
      <c r="AU618" s="11"/>
      <c r="AV618" s="11"/>
      <c r="AW618" s="11"/>
      <c r="AX618" s="11"/>
      <c r="AY618" s="11"/>
      <c r="AZ618" s="11"/>
      <c r="BA618" s="11"/>
      <c r="BB618" s="11"/>
      <c r="BC618" s="11"/>
      <c r="BD618" s="11"/>
      <c r="BE618" s="11"/>
      <c r="BF618" s="11"/>
      <c r="BG618" s="11"/>
      <c r="BH618" s="11"/>
      <c r="BI618" s="11"/>
      <c r="BJ618" s="11"/>
      <c r="BK618" s="11"/>
    </row>
    <row r="619" spans="1:63" ht="12.75">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c r="BA619" s="11"/>
      <c r="BB619" s="11"/>
      <c r="BC619" s="11"/>
      <c r="BD619" s="11"/>
      <c r="BE619" s="11"/>
      <c r="BF619" s="11"/>
      <c r="BG619" s="11"/>
      <c r="BH619" s="11"/>
      <c r="BI619" s="11"/>
      <c r="BJ619" s="11"/>
      <c r="BK619" s="11"/>
    </row>
    <row r="620" spans="1:63" ht="12.75">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c r="BA620" s="11"/>
      <c r="BB620" s="11"/>
      <c r="BC620" s="11"/>
      <c r="BD620" s="11"/>
      <c r="BE620" s="11"/>
      <c r="BF620" s="11"/>
      <c r="BG620" s="11"/>
      <c r="BH620" s="11"/>
      <c r="BI620" s="11"/>
      <c r="BJ620" s="11"/>
      <c r="BK620" s="11"/>
    </row>
    <row r="621" spans="1:63" ht="12.75">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c r="BA621" s="11"/>
      <c r="BB621" s="11"/>
      <c r="BC621" s="11"/>
      <c r="BD621" s="11"/>
      <c r="BE621" s="11"/>
      <c r="BF621" s="11"/>
      <c r="BG621" s="11"/>
      <c r="BH621" s="11"/>
      <c r="BI621" s="11"/>
      <c r="BJ621" s="11"/>
      <c r="BK621" s="11"/>
    </row>
    <row r="622" spans="1:63" ht="12.75">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c r="AE622" s="11"/>
      <c r="AF622" s="11"/>
      <c r="AG622" s="11"/>
      <c r="AH622" s="11"/>
      <c r="AI622" s="11"/>
      <c r="AJ622" s="11"/>
      <c r="AK622" s="11"/>
      <c r="AL622" s="11"/>
      <c r="AM622" s="11"/>
      <c r="AN622" s="11"/>
      <c r="AO622" s="11"/>
      <c r="AP622" s="11"/>
      <c r="AQ622" s="11"/>
      <c r="AR622" s="11"/>
      <c r="AS622" s="11"/>
      <c r="AT622" s="11"/>
      <c r="AU622" s="11"/>
      <c r="AV622" s="11"/>
      <c r="AW622" s="11"/>
      <c r="AX622" s="11"/>
      <c r="AY622" s="11"/>
      <c r="AZ622" s="11"/>
      <c r="BA622" s="11"/>
      <c r="BB622" s="11"/>
      <c r="BC622" s="11"/>
      <c r="BD622" s="11"/>
      <c r="BE622" s="11"/>
      <c r="BF622" s="11"/>
      <c r="BG622" s="11"/>
      <c r="BH622" s="11"/>
      <c r="BI622" s="11"/>
      <c r="BJ622" s="11"/>
      <c r="BK622" s="11"/>
    </row>
    <row r="623" spans="1:63" ht="12.75">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c r="BA623" s="11"/>
      <c r="BB623" s="11"/>
      <c r="BC623" s="11"/>
      <c r="BD623" s="11"/>
      <c r="BE623" s="11"/>
      <c r="BF623" s="11"/>
      <c r="BG623" s="11"/>
      <c r="BH623" s="11"/>
      <c r="BI623" s="11"/>
      <c r="BJ623" s="11"/>
      <c r="BK623" s="11"/>
    </row>
    <row r="624" spans="1:63" ht="12.75">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c r="BA624" s="11"/>
      <c r="BB624" s="11"/>
      <c r="BC624" s="11"/>
      <c r="BD624" s="11"/>
      <c r="BE624" s="11"/>
      <c r="BF624" s="11"/>
      <c r="BG624" s="11"/>
      <c r="BH624" s="11"/>
      <c r="BI624" s="11"/>
      <c r="BJ624" s="11"/>
      <c r="BK624" s="11"/>
    </row>
    <row r="625" spans="1:63" ht="12.7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c r="BA625" s="11"/>
      <c r="BB625" s="11"/>
      <c r="BC625" s="11"/>
      <c r="BD625" s="11"/>
      <c r="BE625" s="11"/>
      <c r="BF625" s="11"/>
      <c r="BG625" s="11"/>
      <c r="BH625" s="11"/>
      <c r="BI625" s="11"/>
      <c r="BJ625" s="11"/>
      <c r="BK625" s="11"/>
    </row>
    <row r="626" spans="1:63" ht="12.75">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c r="AE626" s="11"/>
      <c r="AF626" s="11"/>
      <c r="AG626" s="11"/>
      <c r="AH626" s="11"/>
      <c r="AI626" s="11"/>
      <c r="AJ626" s="11"/>
      <c r="AK626" s="11"/>
      <c r="AL626" s="11"/>
      <c r="AM626" s="11"/>
      <c r="AN626" s="11"/>
      <c r="AO626" s="11"/>
      <c r="AP626" s="11"/>
      <c r="AQ626" s="11"/>
      <c r="AR626" s="11"/>
      <c r="AS626" s="11"/>
      <c r="AT626" s="11"/>
      <c r="AU626" s="11"/>
      <c r="AV626" s="11"/>
      <c r="AW626" s="11"/>
      <c r="AX626" s="11"/>
      <c r="AY626" s="11"/>
      <c r="AZ626" s="11"/>
      <c r="BA626" s="11"/>
      <c r="BB626" s="11"/>
      <c r="BC626" s="11"/>
      <c r="BD626" s="11"/>
      <c r="BE626" s="11"/>
      <c r="BF626" s="11"/>
      <c r="BG626" s="11"/>
      <c r="BH626" s="11"/>
      <c r="BI626" s="11"/>
      <c r="BJ626" s="11"/>
      <c r="BK626" s="11"/>
    </row>
    <row r="627" spans="1:63" ht="12.75">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c r="BA627" s="11"/>
      <c r="BB627" s="11"/>
      <c r="BC627" s="11"/>
      <c r="BD627" s="11"/>
      <c r="BE627" s="11"/>
      <c r="BF627" s="11"/>
      <c r="BG627" s="11"/>
      <c r="BH627" s="11"/>
      <c r="BI627" s="11"/>
      <c r="BJ627" s="11"/>
      <c r="BK627" s="11"/>
    </row>
    <row r="628" spans="1:63" ht="12.75">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c r="BA628" s="11"/>
      <c r="BB628" s="11"/>
      <c r="BC628" s="11"/>
      <c r="BD628" s="11"/>
      <c r="BE628" s="11"/>
      <c r="BF628" s="11"/>
      <c r="BG628" s="11"/>
      <c r="BH628" s="11"/>
      <c r="BI628" s="11"/>
      <c r="BJ628" s="11"/>
      <c r="BK628" s="11"/>
    </row>
    <row r="629" spans="1:63" ht="12.75">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c r="AE629" s="11"/>
      <c r="AF629" s="11"/>
      <c r="AG629" s="11"/>
      <c r="AH629" s="11"/>
      <c r="AI629" s="11"/>
      <c r="AJ629" s="11"/>
      <c r="AK629" s="11"/>
      <c r="AL629" s="11"/>
      <c r="AM629" s="11"/>
      <c r="AN629" s="11"/>
      <c r="AO629" s="11"/>
      <c r="AP629" s="11"/>
      <c r="AQ629" s="11"/>
      <c r="AR629" s="11"/>
      <c r="AS629" s="11"/>
      <c r="AT629" s="11"/>
      <c r="AU629" s="11"/>
      <c r="AV629" s="11"/>
      <c r="AW629" s="11"/>
      <c r="AX629" s="11"/>
      <c r="AY629" s="11"/>
      <c r="AZ629" s="11"/>
      <c r="BA629" s="11"/>
      <c r="BB629" s="11"/>
      <c r="BC629" s="11"/>
      <c r="BD629" s="11"/>
      <c r="BE629" s="11"/>
      <c r="BF629" s="11"/>
      <c r="BG629" s="11"/>
      <c r="BH629" s="11"/>
      <c r="BI629" s="11"/>
      <c r="BJ629" s="11"/>
      <c r="BK629" s="11"/>
    </row>
    <row r="630" spans="1:63" ht="12.75">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c r="BA630" s="11"/>
      <c r="BB630" s="11"/>
      <c r="BC630" s="11"/>
      <c r="BD630" s="11"/>
      <c r="BE630" s="11"/>
      <c r="BF630" s="11"/>
      <c r="BG630" s="11"/>
      <c r="BH630" s="11"/>
      <c r="BI630" s="11"/>
      <c r="BJ630" s="11"/>
      <c r="BK630" s="11"/>
    </row>
    <row r="631" spans="1:63" ht="12.75">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c r="BA631" s="11"/>
      <c r="BB631" s="11"/>
      <c r="BC631" s="11"/>
      <c r="BD631" s="11"/>
      <c r="BE631" s="11"/>
      <c r="BF631" s="11"/>
      <c r="BG631" s="11"/>
      <c r="BH631" s="11"/>
      <c r="BI631" s="11"/>
      <c r="BJ631" s="11"/>
      <c r="BK631" s="11"/>
    </row>
    <row r="632" spans="1:63" ht="12.75">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c r="BA632" s="11"/>
      <c r="BB632" s="11"/>
      <c r="BC632" s="11"/>
      <c r="BD632" s="11"/>
      <c r="BE632" s="11"/>
      <c r="BF632" s="11"/>
      <c r="BG632" s="11"/>
      <c r="BH632" s="11"/>
      <c r="BI632" s="11"/>
      <c r="BJ632" s="11"/>
      <c r="BK632" s="11"/>
    </row>
    <row r="633" spans="1:63" ht="12.75">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c r="AE633" s="11"/>
      <c r="AF633" s="11"/>
      <c r="AG633" s="11"/>
      <c r="AH633" s="11"/>
      <c r="AI633" s="11"/>
      <c r="AJ633" s="11"/>
      <c r="AK633" s="11"/>
      <c r="AL633" s="11"/>
      <c r="AM633" s="11"/>
      <c r="AN633" s="11"/>
      <c r="AO633" s="11"/>
      <c r="AP633" s="11"/>
      <c r="AQ633" s="11"/>
      <c r="AR633" s="11"/>
      <c r="AS633" s="11"/>
      <c r="AT633" s="11"/>
      <c r="AU633" s="11"/>
      <c r="AV633" s="11"/>
      <c r="AW633" s="11"/>
      <c r="AX633" s="11"/>
      <c r="AY633" s="11"/>
      <c r="AZ633" s="11"/>
      <c r="BA633" s="11"/>
      <c r="BB633" s="11"/>
      <c r="BC633" s="11"/>
      <c r="BD633" s="11"/>
      <c r="BE633" s="11"/>
      <c r="BF633" s="11"/>
      <c r="BG633" s="11"/>
      <c r="BH633" s="11"/>
      <c r="BI633" s="11"/>
      <c r="BJ633" s="11"/>
      <c r="BK633" s="11"/>
    </row>
    <row r="634" spans="1:63" ht="12.75">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c r="BA634" s="11"/>
      <c r="BB634" s="11"/>
      <c r="BC634" s="11"/>
      <c r="BD634" s="11"/>
      <c r="BE634" s="11"/>
      <c r="BF634" s="11"/>
      <c r="BG634" s="11"/>
      <c r="BH634" s="11"/>
      <c r="BI634" s="11"/>
      <c r="BJ634" s="11"/>
      <c r="BK634" s="11"/>
    </row>
    <row r="635" spans="1:63" ht="12.7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c r="BA635" s="11"/>
      <c r="BB635" s="11"/>
      <c r="BC635" s="11"/>
      <c r="BD635" s="11"/>
      <c r="BE635" s="11"/>
      <c r="BF635" s="11"/>
      <c r="BG635" s="11"/>
      <c r="BH635" s="11"/>
      <c r="BI635" s="11"/>
      <c r="BJ635" s="11"/>
      <c r="BK635" s="11"/>
    </row>
    <row r="636" spans="1:63" ht="12.75">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c r="BA636" s="11"/>
      <c r="BB636" s="11"/>
      <c r="BC636" s="11"/>
      <c r="BD636" s="11"/>
      <c r="BE636" s="11"/>
      <c r="BF636" s="11"/>
      <c r="BG636" s="11"/>
      <c r="BH636" s="11"/>
      <c r="BI636" s="11"/>
      <c r="BJ636" s="11"/>
      <c r="BK636" s="11"/>
    </row>
    <row r="637" spans="1:63" ht="12.75">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c r="AE637" s="11"/>
      <c r="AF637" s="11"/>
      <c r="AG637" s="11"/>
      <c r="AH637" s="11"/>
      <c r="AI637" s="11"/>
      <c r="AJ637" s="11"/>
      <c r="AK637" s="11"/>
      <c r="AL637" s="11"/>
      <c r="AM637" s="11"/>
      <c r="AN637" s="11"/>
      <c r="AO637" s="11"/>
      <c r="AP637" s="11"/>
      <c r="AQ637" s="11"/>
      <c r="AR637" s="11"/>
      <c r="AS637" s="11"/>
      <c r="AT637" s="11"/>
      <c r="AU637" s="11"/>
      <c r="AV637" s="11"/>
      <c r="AW637" s="11"/>
      <c r="AX637" s="11"/>
      <c r="AY637" s="11"/>
      <c r="AZ637" s="11"/>
      <c r="BA637" s="11"/>
      <c r="BB637" s="11"/>
      <c r="BC637" s="11"/>
      <c r="BD637" s="11"/>
      <c r="BE637" s="11"/>
      <c r="BF637" s="11"/>
      <c r="BG637" s="11"/>
      <c r="BH637" s="11"/>
      <c r="BI637" s="11"/>
      <c r="BJ637" s="11"/>
      <c r="BK637" s="11"/>
    </row>
    <row r="638" spans="1:63" ht="12.75">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c r="BA638" s="11"/>
      <c r="BB638" s="11"/>
      <c r="BC638" s="11"/>
      <c r="BD638" s="11"/>
      <c r="BE638" s="11"/>
      <c r="BF638" s="11"/>
      <c r="BG638" s="11"/>
      <c r="BH638" s="11"/>
      <c r="BI638" s="11"/>
      <c r="BJ638" s="11"/>
      <c r="BK638" s="11"/>
    </row>
    <row r="639" spans="1:63" ht="12.75">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c r="BA639" s="11"/>
      <c r="BB639" s="11"/>
      <c r="BC639" s="11"/>
      <c r="BD639" s="11"/>
      <c r="BE639" s="11"/>
      <c r="BF639" s="11"/>
      <c r="BG639" s="11"/>
      <c r="BH639" s="11"/>
      <c r="BI639" s="11"/>
      <c r="BJ639" s="11"/>
      <c r="BK639" s="11"/>
    </row>
    <row r="640" spans="1:63" ht="12.75">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c r="AE640" s="11"/>
      <c r="AF640" s="11"/>
      <c r="AG640" s="11"/>
      <c r="AH640" s="11"/>
      <c r="AI640" s="11"/>
      <c r="AJ640" s="11"/>
      <c r="AK640" s="11"/>
      <c r="AL640" s="11"/>
      <c r="AM640" s="11"/>
      <c r="AN640" s="11"/>
      <c r="AO640" s="11"/>
      <c r="AP640" s="11"/>
      <c r="AQ640" s="11"/>
      <c r="AR640" s="11"/>
      <c r="AS640" s="11"/>
      <c r="AT640" s="11"/>
      <c r="AU640" s="11"/>
      <c r="AV640" s="11"/>
      <c r="AW640" s="11"/>
      <c r="AX640" s="11"/>
      <c r="AY640" s="11"/>
      <c r="AZ640" s="11"/>
      <c r="BA640" s="11"/>
      <c r="BB640" s="11"/>
      <c r="BC640" s="11"/>
      <c r="BD640" s="11"/>
      <c r="BE640" s="11"/>
      <c r="BF640" s="11"/>
      <c r="BG640" s="11"/>
      <c r="BH640" s="11"/>
      <c r="BI640" s="11"/>
      <c r="BJ640" s="11"/>
      <c r="BK640" s="11"/>
    </row>
    <row r="641" spans="1:63" ht="12.75">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c r="BA641" s="11"/>
      <c r="BB641" s="11"/>
      <c r="BC641" s="11"/>
      <c r="BD641" s="11"/>
      <c r="BE641" s="11"/>
      <c r="BF641" s="11"/>
      <c r="BG641" s="11"/>
      <c r="BH641" s="11"/>
      <c r="BI641" s="11"/>
      <c r="BJ641" s="11"/>
      <c r="BK641" s="11"/>
    </row>
    <row r="642" spans="1:63" ht="12.75">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c r="BA642" s="11"/>
      <c r="BB642" s="11"/>
      <c r="BC642" s="11"/>
      <c r="BD642" s="11"/>
      <c r="BE642" s="11"/>
      <c r="BF642" s="11"/>
      <c r="BG642" s="11"/>
      <c r="BH642" s="11"/>
      <c r="BI642" s="11"/>
      <c r="BJ642" s="11"/>
      <c r="BK642" s="11"/>
    </row>
    <row r="643" spans="1:63" ht="12.75">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c r="BC643" s="11"/>
      <c r="BD643" s="11"/>
      <c r="BE643" s="11"/>
      <c r="BF643" s="11"/>
      <c r="BG643" s="11"/>
      <c r="BH643" s="11"/>
      <c r="BI643" s="11"/>
      <c r="BJ643" s="11"/>
      <c r="BK643" s="11"/>
    </row>
    <row r="644" spans="1:63" ht="12.75">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c r="AE644" s="11"/>
      <c r="AF644" s="11"/>
      <c r="AG644" s="11"/>
      <c r="AH644" s="11"/>
      <c r="AI644" s="11"/>
      <c r="AJ644" s="11"/>
      <c r="AK644" s="11"/>
      <c r="AL644" s="11"/>
      <c r="AM644" s="11"/>
      <c r="AN644" s="11"/>
      <c r="AO644" s="11"/>
      <c r="AP644" s="11"/>
      <c r="AQ644" s="11"/>
      <c r="AR644" s="11"/>
      <c r="AS644" s="11"/>
      <c r="AT644" s="11"/>
      <c r="AU644" s="11"/>
      <c r="AV644" s="11"/>
      <c r="AW644" s="11"/>
      <c r="AX644" s="11"/>
      <c r="AY644" s="11"/>
      <c r="AZ644" s="11"/>
      <c r="BA644" s="11"/>
      <c r="BB644" s="11"/>
      <c r="BC644" s="11"/>
      <c r="BD644" s="11"/>
      <c r="BE644" s="11"/>
      <c r="BF644" s="11"/>
      <c r="BG644" s="11"/>
      <c r="BH644" s="11"/>
      <c r="BI644" s="11"/>
      <c r="BJ644" s="11"/>
      <c r="BK644" s="11"/>
    </row>
    <row r="645" spans="1:63" ht="12.7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c r="BA645" s="11"/>
      <c r="BB645" s="11"/>
      <c r="BC645" s="11"/>
      <c r="BD645" s="11"/>
      <c r="BE645" s="11"/>
      <c r="BF645" s="11"/>
      <c r="BG645" s="11"/>
      <c r="BH645" s="11"/>
      <c r="BI645" s="11"/>
      <c r="BJ645" s="11"/>
      <c r="BK645" s="11"/>
    </row>
    <row r="646" spans="1:63" ht="12.75">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c r="BA646" s="11"/>
      <c r="BB646" s="11"/>
      <c r="BC646" s="11"/>
      <c r="BD646" s="11"/>
      <c r="BE646" s="11"/>
      <c r="BF646" s="11"/>
      <c r="BG646" s="11"/>
      <c r="BH646" s="11"/>
      <c r="BI646" s="11"/>
      <c r="BJ646" s="11"/>
      <c r="BK646" s="11"/>
    </row>
    <row r="647" spans="1:63" ht="12.75">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c r="BA647" s="11"/>
      <c r="BB647" s="11"/>
      <c r="BC647" s="11"/>
      <c r="BD647" s="11"/>
      <c r="BE647" s="11"/>
      <c r="BF647" s="11"/>
      <c r="BG647" s="11"/>
      <c r="BH647" s="11"/>
      <c r="BI647" s="11"/>
      <c r="BJ647" s="11"/>
      <c r="BK647" s="11"/>
    </row>
    <row r="648" spans="1:63" ht="12.75">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c r="AE648" s="11"/>
      <c r="AF648" s="11"/>
      <c r="AG648" s="11"/>
      <c r="AH648" s="11"/>
      <c r="AI648" s="11"/>
      <c r="AJ648" s="11"/>
      <c r="AK648" s="11"/>
      <c r="AL648" s="11"/>
      <c r="AM648" s="11"/>
      <c r="AN648" s="11"/>
      <c r="AO648" s="11"/>
      <c r="AP648" s="11"/>
      <c r="AQ648" s="11"/>
      <c r="AR648" s="11"/>
      <c r="AS648" s="11"/>
      <c r="AT648" s="11"/>
      <c r="AU648" s="11"/>
      <c r="AV648" s="11"/>
      <c r="AW648" s="11"/>
      <c r="AX648" s="11"/>
      <c r="AY648" s="11"/>
      <c r="AZ648" s="11"/>
      <c r="BA648" s="11"/>
      <c r="BB648" s="11"/>
      <c r="BC648" s="11"/>
      <c r="BD648" s="11"/>
      <c r="BE648" s="11"/>
      <c r="BF648" s="11"/>
      <c r="BG648" s="11"/>
      <c r="BH648" s="11"/>
      <c r="BI648" s="11"/>
      <c r="BJ648" s="11"/>
      <c r="BK648" s="11"/>
    </row>
    <row r="649" spans="1:63" ht="12.75">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c r="BA649" s="11"/>
      <c r="BB649" s="11"/>
      <c r="BC649" s="11"/>
      <c r="BD649" s="11"/>
      <c r="BE649" s="11"/>
      <c r="BF649" s="11"/>
      <c r="BG649" s="11"/>
      <c r="BH649" s="11"/>
      <c r="BI649" s="11"/>
      <c r="BJ649" s="11"/>
      <c r="BK649" s="11"/>
    </row>
    <row r="650" spans="1:63" ht="12.75">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c r="AE650" s="11"/>
      <c r="AF650" s="11"/>
      <c r="AG650" s="11"/>
      <c r="AH650" s="11"/>
      <c r="AI650" s="11"/>
      <c r="AJ650" s="11"/>
      <c r="AK650" s="11"/>
      <c r="AL650" s="11"/>
      <c r="AM650" s="11"/>
      <c r="AN650" s="11"/>
      <c r="AO650" s="11"/>
      <c r="AP650" s="11"/>
      <c r="AQ650" s="11"/>
      <c r="AR650" s="11"/>
      <c r="AS650" s="11"/>
      <c r="AT650" s="11"/>
      <c r="AU650" s="11"/>
      <c r="AV650" s="11"/>
      <c r="AW650" s="11"/>
      <c r="AX650" s="11"/>
      <c r="AY650" s="11"/>
      <c r="AZ650" s="11"/>
      <c r="BA650" s="11"/>
      <c r="BB650" s="11"/>
      <c r="BC650" s="11"/>
      <c r="BD650" s="11"/>
      <c r="BE650" s="11"/>
      <c r="BF650" s="11"/>
      <c r="BG650" s="11"/>
      <c r="BH650" s="11"/>
      <c r="BI650" s="11"/>
      <c r="BJ650" s="11"/>
      <c r="BK650" s="11"/>
    </row>
    <row r="651" spans="1:63" ht="12.75">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c r="BA651" s="11"/>
      <c r="BB651" s="11"/>
      <c r="BC651" s="11"/>
      <c r="BD651" s="11"/>
      <c r="BE651" s="11"/>
      <c r="BF651" s="11"/>
      <c r="BG651" s="11"/>
      <c r="BH651" s="11"/>
      <c r="BI651" s="11"/>
      <c r="BJ651" s="11"/>
      <c r="BK651" s="11"/>
    </row>
    <row r="652" spans="1:63" ht="12.75">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c r="BA652" s="11"/>
      <c r="BB652" s="11"/>
      <c r="BC652" s="11"/>
      <c r="BD652" s="11"/>
      <c r="BE652" s="11"/>
      <c r="BF652" s="11"/>
      <c r="BG652" s="11"/>
      <c r="BH652" s="11"/>
      <c r="BI652" s="11"/>
      <c r="BJ652" s="11"/>
      <c r="BK652" s="11"/>
    </row>
    <row r="653" spans="1:63" ht="12.75">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c r="BA653" s="11"/>
      <c r="BB653" s="11"/>
      <c r="BC653" s="11"/>
      <c r="BD653" s="11"/>
      <c r="BE653" s="11"/>
      <c r="BF653" s="11"/>
      <c r="BG653" s="11"/>
      <c r="BH653" s="11"/>
      <c r="BI653" s="11"/>
      <c r="BJ653" s="11"/>
      <c r="BK653" s="11"/>
    </row>
    <row r="654" spans="1:63" ht="12.75">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c r="BA654" s="11"/>
      <c r="BB654" s="11"/>
      <c r="BC654" s="11"/>
      <c r="BD654" s="11"/>
      <c r="BE654" s="11"/>
      <c r="BF654" s="11"/>
      <c r="BG654" s="11"/>
      <c r="BH654" s="11"/>
      <c r="BI654" s="11"/>
      <c r="BJ654" s="11"/>
      <c r="BK654" s="11"/>
    </row>
    <row r="655" spans="1:63" ht="12.7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c r="BA655" s="11"/>
      <c r="BB655" s="11"/>
      <c r="BC655" s="11"/>
      <c r="BD655" s="11"/>
      <c r="BE655" s="11"/>
      <c r="BF655" s="11"/>
      <c r="BG655" s="11"/>
      <c r="BH655" s="11"/>
      <c r="BI655" s="11"/>
      <c r="BJ655" s="11"/>
      <c r="BK655" s="11"/>
    </row>
    <row r="656" spans="1:63" ht="12.75">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c r="BA656" s="11"/>
      <c r="BB656" s="11"/>
      <c r="BC656" s="11"/>
      <c r="BD656" s="11"/>
      <c r="BE656" s="11"/>
      <c r="BF656" s="11"/>
      <c r="BG656" s="11"/>
      <c r="BH656" s="11"/>
      <c r="BI656" s="11"/>
      <c r="BJ656" s="11"/>
      <c r="BK656" s="11"/>
    </row>
    <row r="657" spans="1:63" ht="12.75">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c r="BA657" s="11"/>
      <c r="BB657" s="11"/>
      <c r="BC657" s="11"/>
      <c r="BD657" s="11"/>
      <c r="BE657" s="11"/>
      <c r="BF657" s="11"/>
      <c r="BG657" s="11"/>
      <c r="BH657" s="11"/>
      <c r="BI657" s="11"/>
      <c r="BJ657" s="11"/>
      <c r="BK657" s="11"/>
    </row>
    <row r="658" spans="1:63" ht="12.75">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c r="BA658" s="11"/>
      <c r="BB658" s="11"/>
      <c r="BC658" s="11"/>
      <c r="BD658" s="11"/>
      <c r="BE658" s="11"/>
      <c r="BF658" s="11"/>
      <c r="BG658" s="11"/>
      <c r="BH658" s="11"/>
      <c r="BI658" s="11"/>
      <c r="BJ658" s="11"/>
      <c r="BK658" s="11"/>
    </row>
    <row r="659" spans="1:63" ht="12.75">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c r="BA659" s="11"/>
      <c r="BB659" s="11"/>
      <c r="BC659" s="11"/>
      <c r="BD659" s="11"/>
      <c r="BE659" s="11"/>
      <c r="BF659" s="11"/>
      <c r="BG659" s="11"/>
      <c r="BH659" s="11"/>
      <c r="BI659" s="11"/>
      <c r="BJ659" s="11"/>
      <c r="BK659" s="11"/>
    </row>
    <row r="660" spans="1:63" ht="12.75">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c r="BA660" s="11"/>
      <c r="BB660" s="11"/>
      <c r="BC660" s="11"/>
      <c r="BD660" s="11"/>
      <c r="BE660" s="11"/>
      <c r="BF660" s="11"/>
      <c r="BG660" s="11"/>
      <c r="BH660" s="11"/>
      <c r="BI660" s="11"/>
      <c r="BJ660" s="11"/>
      <c r="BK660" s="11"/>
    </row>
    <row r="661" spans="1:63" ht="12.75">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c r="BA661" s="11"/>
      <c r="BB661" s="11"/>
      <c r="BC661" s="11"/>
      <c r="BD661" s="11"/>
      <c r="BE661" s="11"/>
      <c r="BF661" s="11"/>
      <c r="BG661" s="11"/>
      <c r="BH661" s="11"/>
      <c r="BI661" s="11"/>
      <c r="BJ661" s="11"/>
      <c r="BK661" s="11"/>
    </row>
    <row r="662" spans="1:63" ht="12.75">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c r="BA662" s="11"/>
      <c r="BB662" s="11"/>
      <c r="BC662" s="11"/>
      <c r="BD662" s="11"/>
      <c r="BE662" s="11"/>
      <c r="BF662" s="11"/>
      <c r="BG662" s="11"/>
      <c r="BH662" s="11"/>
      <c r="BI662" s="11"/>
      <c r="BJ662" s="11"/>
      <c r="BK662" s="11"/>
    </row>
    <row r="663" spans="1:63" ht="12.75">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c r="BA663" s="11"/>
      <c r="BB663" s="11"/>
      <c r="BC663" s="11"/>
      <c r="BD663" s="11"/>
      <c r="BE663" s="11"/>
      <c r="BF663" s="11"/>
      <c r="BG663" s="11"/>
      <c r="BH663" s="11"/>
      <c r="BI663" s="11"/>
      <c r="BJ663" s="11"/>
      <c r="BK663" s="11"/>
    </row>
    <row r="664" spans="1:63" ht="12.75">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c r="BA664" s="11"/>
      <c r="BB664" s="11"/>
      <c r="BC664" s="11"/>
      <c r="BD664" s="11"/>
      <c r="BE664" s="11"/>
      <c r="BF664" s="11"/>
      <c r="BG664" s="11"/>
      <c r="BH664" s="11"/>
      <c r="BI664" s="11"/>
      <c r="BJ664" s="11"/>
      <c r="BK664" s="11"/>
    </row>
    <row r="665" spans="1:63" ht="12.7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c r="BA665" s="11"/>
      <c r="BB665" s="11"/>
      <c r="BC665" s="11"/>
      <c r="BD665" s="11"/>
      <c r="BE665" s="11"/>
      <c r="BF665" s="11"/>
      <c r="BG665" s="11"/>
      <c r="BH665" s="11"/>
      <c r="BI665" s="11"/>
      <c r="BJ665" s="11"/>
      <c r="BK665" s="11"/>
    </row>
    <row r="666" spans="1:63" ht="12.75">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c r="BA666" s="11"/>
      <c r="BB666" s="11"/>
      <c r="BC666" s="11"/>
      <c r="BD666" s="11"/>
      <c r="BE666" s="11"/>
      <c r="BF666" s="11"/>
      <c r="BG666" s="11"/>
      <c r="BH666" s="11"/>
      <c r="BI666" s="11"/>
      <c r="BJ666" s="11"/>
      <c r="BK666" s="11"/>
    </row>
    <row r="667" spans="1:63" ht="12.75">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c r="BA667" s="11"/>
      <c r="BB667" s="11"/>
      <c r="BC667" s="11"/>
      <c r="BD667" s="11"/>
      <c r="BE667" s="11"/>
      <c r="BF667" s="11"/>
      <c r="BG667" s="11"/>
      <c r="BH667" s="11"/>
      <c r="BI667" s="11"/>
      <c r="BJ667" s="11"/>
      <c r="BK667" s="11"/>
    </row>
    <row r="668" spans="1:63" ht="12.75">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c r="BA668" s="11"/>
      <c r="BB668" s="11"/>
      <c r="BC668" s="11"/>
      <c r="BD668" s="11"/>
      <c r="BE668" s="11"/>
      <c r="BF668" s="11"/>
      <c r="BG668" s="11"/>
      <c r="BH668" s="11"/>
      <c r="BI668" s="11"/>
      <c r="BJ668" s="11"/>
      <c r="BK668" s="11"/>
    </row>
    <row r="669" spans="1:63" ht="12.75">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c r="BA669" s="11"/>
      <c r="BB669" s="11"/>
      <c r="BC669" s="11"/>
      <c r="BD669" s="11"/>
      <c r="BE669" s="11"/>
      <c r="BF669" s="11"/>
      <c r="BG669" s="11"/>
      <c r="BH669" s="11"/>
      <c r="BI669" s="11"/>
      <c r="BJ669" s="11"/>
      <c r="BK669" s="11"/>
    </row>
    <row r="670" spans="1:63" ht="12.75">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c r="BA670" s="11"/>
      <c r="BB670" s="11"/>
      <c r="BC670" s="11"/>
      <c r="BD670" s="11"/>
      <c r="BE670" s="11"/>
      <c r="BF670" s="11"/>
      <c r="BG670" s="11"/>
      <c r="BH670" s="11"/>
      <c r="BI670" s="11"/>
      <c r="BJ670" s="11"/>
      <c r="BK670" s="11"/>
    </row>
    <row r="671" spans="1:63" ht="12.75">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c r="BA671" s="11"/>
      <c r="BB671" s="11"/>
      <c r="BC671" s="11"/>
      <c r="BD671" s="11"/>
      <c r="BE671" s="11"/>
      <c r="BF671" s="11"/>
      <c r="BG671" s="11"/>
      <c r="BH671" s="11"/>
      <c r="BI671" s="11"/>
      <c r="BJ671" s="11"/>
      <c r="BK671" s="11"/>
    </row>
    <row r="672" spans="1:63" ht="12.75">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c r="BA672" s="11"/>
      <c r="BB672" s="11"/>
      <c r="BC672" s="11"/>
      <c r="BD672" s="11"/>
      <c r="BE672" s="11"/>
      <c r="BF672" s="11"/>
      <c r="BG672" s="11"/>
      <c r="BH672" s="11"/>
      <c r="BI672" s="11"/>
      <c r="BJ672" s="11"/>
      <c r="BK672" s="11"/>
    </row>
    <row r="673" spans="1:63" ht="12.75">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c r="BA673" s="11"/>
      <c r="BB673" s="11"/>
      <c r="BC673" s="11"/>
      <c r="BD673" s="11"/>
      <c r="BE673" s="11"/>
      <c r="BF673" s="11"/>
      <c r="BG673" s="11"/>
      <c r="BH673" s="11"/>
      <c r="BI673" s="11"/>
      <c r="BJ673" s="11"/>
      <c r="BK673" s="11"/>
    </row>
    <row r="674" spans="1:63" ht="12.75">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c r="BA674" s="11"/>
      <c r="BB674" s="11"/>
      <c r="BC674" s="11"/>
      <c r="BD674" s="11"/>
      <c r="BE674" s="11"/>
      <c r="BF674" s="11"/>
      <c r="BG674" s="11"/>
      <c r="BH674" s="11"/>
      <c r="BI674" s="11"/>
      <c r="BJ674" s="11"/>
      <c r="BK674" s="11"/>
    </row>
    <row r="675" spans="1:63" ht="12.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c r="BA675" s="11"/>
      <c r="BB675" s="11"/>
      <c r="BC675" s="11"/>
      <c r="BD675" s="11"/>
      <c r="BE675" s="11"/>
      <c r="BF675" s="11"/>
      <c r="BG675" s="11"/>
      <c r="BH675" s="11"/>
      <c r="BI675" s="11"/>
      <c r="BJ675" s="11"/>
      <c r="BK675" s="11"/>
    </row>
    <row r="676" spans="1:63" ht="12.75">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c r="BA676" s="11"/>
      <c r="BB676" s="11"/>
      <c r="BC676" s="11"/>
      <c r="BD676" s="11"/>
      <c r="BE676" s="11"/>
      <c r="BF676" s="11"/>
      <c r="BG676" s="11"/>
      <c r="BH676" s="11"/>
      <c r="BI676" s="11"/>
      <c r="BJ676" s="11"/>
      <c r="BK676" s="11"/>
    </row>
    <row r="677" spans="1:63" ht="12.75">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c r="BA677" s="11"/>
      <c r="BB677" s="11"/>
      <c r="BC677" s="11"/>
      <c r="BD677" s="11"/>
      <c r="BE677" s="11"/>
      <c r="BF677" s="11"/>
      <c r="BG677" s="11"/>
      <c r="BH677" s="11"/>
      <c r="BI677" s="11"/>
      <c r="BJ677" s="11"/>
      <c r="BK677" s="11"/>
    </row>
    <row r="678" spans="1:63" ht="12.75">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c r="BA678" s="11"/>
      <c r="BB678" s="11"/>
      <c r="BC678" s="11"/>
      <c r="BD678" s="11"/>
      <c r="BE678" s="11"/>
      <c r="BF678" s="11"/>
      <c r="BG678" s="11"/>
      <c r="BH678" s="11"/>
      <c r="BI678" s="11"/>
      <c r="BJ678" s="11"/>
      <c r="BK678" s="11"/>
    </row>
    <row r="679" spans="1:63" ht="12.75">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c r="BA679" s="11"/>
      <c r="BB679" s="11"/>
      <c r="BC679" s="11"/>
      <c r="BD679" s="11"/>
      <c r="BE679" s="11"/>
      <c r="BF679" s="11"/>
      <c r="BG679" s="11"/>
      <c r="BH679" s="11"/>
      <c r="BI679" s="11"/>
      <c r="BJ679" s="11"/>
      <c r="BK679" s="11"/>
    </row>
    <row r="680" spans="1:63" ht="12.75">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c r="BA680" s="11"/>
      <c r="BB680" s="11"/>
      <c r="BC680" s="11"/>
      <c r="BD680" s="11"/>
      <c r="BE680" s="11"/>
      <c r="BF680" s="11"/>
      <c r="BG680" s="11"/>
      <c r="BH680" s="11"/>
      <c r="BI680" s="11"/>
      <c r="BJ680" s="11"/>
      <c r="BK680" s="11"/>
    </row>
    <row r="681" spans="1:63" ht="12.75">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c r="BA681" s="11"/>
      <c r="BB681" s="11"/>
      <c r="BC681" s="11"/>
      <c r="BD681" s="11"/>
      <c r="BE681" s="11"/>
      <c r="BF681" s="11"/>
      <c r="BG681" s="11"/>
      <c r="BH681" s="11"/>
      <c r="BI681" s="11"/>
      <c r="BJ681" s="11"/>
      <c r="BK681" s="11"/>
    </row>
    <row r="682" spans="1:63" ht="12.75">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c r="BA682" s="11"/>
      <c r="BB682" s="11"/>
      <c r="BC682" s="11"/>
      <c r="BD682" s="11"/>
      <c r="BE682" s="11"/>
      <c r="BF682" s="11"/>
      <c r="BG682" s="11"/>
      <c r="BH682" s="11"/>
      <c r="BI682" s="11"/>
      <c r="BJ682" s="11"/>
      <c r="BK682" s="11"/>
    </row>
    <row r="683" spans="1:63" ht="12.75">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c r="BA683" s="11"/>
      <c r="BB683" s="11"/>
      <c r="BC683" s="11"/>
      <c r="BD683" s="11"/>
      <c r="BE683" s="11"/>
      <c r="BF683" s="11"/>
      <c r="BG683" s="11"/>
      <c r="BH683" s="11"/>
      <c r="BI683" s="11"/>
      <c r="BJ683" s="11"/>
      <c r="BK683" s="11"/>
    </row>
    <row r="684" spans="1:63" ht="12.75">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c r="BA684" s="11"/>
      <c r="BB684" s="11"/>
      <c r="BC684" s="11"/>
      <c r="BD684" s="11"/>
      <c r="BE684" s="11"/>
      <c r="BF684" s="11"/>
      <c r="BG684" s="11"/>
      <c r="BH684" s="11"/>
      <c r="BI684" s="11"/>
      <c r="BJ684" s="11"/>
      <c r="BK684" s="11"/>
    </row>
    <row r="685" spans="1:63" ht="12.7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c r="BA685" s="11"/>
      <c r="BB685" s="11"/>
      <c r="BC685" s="11"/>
      <c r="BD685" s="11"/>
      <c r="BE685" s="11"/>
      <c r="BF685" s="11"/>
      <c r="BG685" s="11"/>
      <c r="BH685" s="11"/>
      <c r="BI685" s="11"/>
      <c r="BJ685" s="11"/>
      <c r="BK685" s="11"/>
    </row>
    <row r="686" spans="1:63" ht="12.75">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c r="BA686" s="11"/>
      <c r="BB686" s="11"/>
      <c r="BC686" s="11"/>
      <c r="BD686" s="11"/>
      <c r="BE686" s="11"/>
      <c r="BF686" s="11"/>
      <c r="BG686" s="11"/>
      <c r="BH686" s="11"/>
      <c r="BI686" s="11"/>
      <c r="BJ686" s="11"/>
      <c r="BK686" s="11"/>
    </row>
    <row r="687" spans="1:63" ht="12.75">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c r="BA687" s="11"/>
      <c r="BB687" s="11"/>
      <c r="BC687" s="11"/>
      <c r="BD687" s="11"/>
      <c r="BE687" s="11"/>
      <c r="BF687" s="11"/>
      <c r="BG687" s="11"/>
      <c r="BH687" s="11"/>
      <c r="BI687" s="11"/>
      <c r="BJ687" s="11"/>
      <c r="BK687" s="11"/>
    </row>
    <row r="688" spans="1:63" ht="12.75">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c r="BA688" s="11"/>
      <c r="BB688" s="11"/>
      <c r="BC688" s="11"/>
      <c r="BD688" s="11"/>
      <c r="BE688" s="11"/>
      <c r="BF688" s="11"/>
      <c r="BG688" s="11"/>
      <c r="BH688" s="11"/>
      <c r="BI688" s="11"/>
      <c r="BJ688" s="11"/>
      <c r="BK688" s="11"/>
    </row>
    <row r="689" spans="1:63" ht="12.75">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c r="BA689" s="11"/>
      <c r="BB689" s="11"/>
      <c r="BC689" s="11"/>
      <c r="BD689" s="11"/>
      <c r="BE689" s="11"/>
      <c r="BF689" s="11"/>
      <c r="BG689" s="11"/>
      <c r="BH689" s="11"/>
      <c r="BI689" s="11"/>
      <c r="BJ689" s="11"/>
      <c r="BK689" s="11"/>
    </row>
    <row r="690" spans="1:63" ht="12.75">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c r="BA690" s="11"/>
      <c r="BB690" s="11"/>
      <c r="BC690" s="11"/>
      <c r="BD690" s="11"/>
      <c r="BE690" s="11"/>
      <c r="BF690" s="11"/>
      <c r="BG690" s="11"/>
      <c r="BH690" s="11"/>
      <c r="BI690" s="11"/>
      <c r="BJ690" s="11"/>
      <c r="BK690" s="11"/>
    </row>
    <row r="691" spans="1:63" ht="12.75">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c r="BA691" s="11"/>
      <c r="BB691" s="11"/>
      <c r="BC691" s="11"/>
      <c r="BD691" s="11"/>
      <c r="BE691" s="11"/>
      <c r="BF691" s="11"/>
      <c r="BG691" s="11"/>
      <c r="BH691" s="11"/>
      <c r="BI691" s="11"/>
      <c r="BJ691" s="11"/>
      <c r="BK691" s="11"/>
    </row>
    <row r="692" spans="1:63" ht="12.75">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c r="BA692" s="11"/>
      <c r="BB692" s="11"/>
      <c r="BC692" s="11"/>
      <c r="BD692" s="11"/>
      <c r="BE692" s="11"/>
      <c r="BF692" s="11"/>
      <c r="BG692" s="11"/>
      <c r="BH692" s="11"/>
      <c r="BI692" s="11"/>
      <c r="BJ692" s="11"/>
      <c r="BK692" s="11"/>
    </row>
    <row r="693" spans="1:63" ht="12.75">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c r="BA693" s="11"/>
      <c r="BB693" s="11"/>
      <c r="BC693" s="11"/>
      <c r="BD693" s="11"/>
      <c r="BE693" s="11"/>
      <c r="BF693" s="11"/>
      <c r="BG693" s="11"/>
      <c r="BH693" s="11"/>
      <c r="BI693" s="11"/>
      <c r="BJ693" s="11"/>
      <c r="BK693" s="11"/>
    </row>
    <row r="694" spans="1:63" ht="12.75">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c r="BA694" s="11"/>
      <c r="BB694" s="11"/>
      <c r="BC694" s="11"/>
      <c r="BD694" s="11"/>
      <c r="BE694" s="11"/>
      <c r="BF694" s="11"/>
      <c r="BG694" s="11"/>
      <c r="BH694" s="11"/>
      <c r="BI694" s="11"/>
      <c r="BJ694" s="11"/>
      <c r="BK694" s="11"/>
    </row>
    <row r="695" spans="1:63" ht="12.7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c r="AE695" s="11"/>
      <c r="AF695" s="11"/>
      <c r="AG695" s="11"/>
      <c r="AH695" s="11"/>
      <c r="AI695" s="11"/>
      <c r="AJ695" s="11"/>
      <c r="AK695" s="11"/>
      <c r="AL695" s="11"/>
      <c r="AM695" s="11"/>
      <c r="AN695" s="11"/>
      <c r="AO695" s="11"/>
      <c r="AP695" s="11"/>
      <c r="AQ695" s="11"/>
      <c r="AR695" s="11"/>
      <c r="AS695" s="11"/>
      <c r="AT695" s="11"/>
      <c r="AU695" s="11"/>
      <c r="AV695" s="11"/>
      <c r="AW695" s="11"/>
      <c r="AX695" s="11"/>
      <c r="AY695" s="11"/>
      <c r="AZ695" s="11"/>
      <c r="BA695" s="11"/>
      <c r="BB695" s="11"/>
      <c r="BC695" s="11"/>
      <c r="BD695" s="11"/>
      <c r="BE695" s="11"/>
      <c r="BF695" s="11"/>
      <c r="BG695" s="11"/>
      <c r="BH695" s="11"/>
      <c r="BI695" s="11"/>
      <c r="BJ695" s="11"/>
      <c r="BK695" s="11"/>
    </row>
    <row r="696" spans="1:63" ht="12.75">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c r="BA696" s="11"/>
      <c r="BB696" s="11"/>
      <c r="BC696" s="11"/>
      <c r="BD696" s="11"/>
      <c r="BE696" s="11"/>
      <c r="BF696" s="11"/>
      <c r="BG696" s="11"/>
      <c r="BH696" s="11"/>
      <c r="BI696" s="11"/>
      <c r="BJ696" s="11"/>
      <c r="BK696" s="11"/>
    </row>
    <row r="697" spans="1:63" ht="12.75">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c r="BA697" s="11"/>
      <c r="BB697" s="11"/>
      <c r="BC697" s="11"/>
      <c r="BD697" s="11"/>
      <c r="BE697" s="11"/>
      <c r="BF697" s="11"/>
      <c r="BG697" s="11"/>
      <c r="BH697" s="11"/>
      <c r="BI697" s="11"/>
      <c r="BJ697" s="11"/>
      <c r="BK697" s="11"/>
    </row>
    <row r="698" spans="1:63" ht="12.75">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c r="BA698" s="11"/>
      <c r="BB698" s="11"/>
      <c r="BC698" s="11"/>
      <c r="BD698" s="11"/>
      <c r="BE698" s="11"/>
      <c r="BF698" s="11"/>
      <c r="BG698" s="11"/>
      <c r="BH698" s="11"/>
      <c r="BI698" s="11"/>
      <c r="BJ698" s="11"/>
      <c r="BK698" s="11"/>
    </row>
    <row r="699" spans="1:63" ht="12.75">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c r="BA699" s="11"/>
      <c r="BB699" s="11"/>
      <c r="BC699" s="11"/>
      <c r="BD699" s="11"/>
      <c r="BE699" s="11"/>
      <c r="BF699" s="11"/>
      <c r="BG699" s="11"/>
      <c r="BH699" s="11"/>
      <c r="BI699" s="11"/>
      <c r="BJ699" s="11"/>
      <c r="BK699" s="11"/>
    </row>
    <row r="700" spans="1:63" ht="12.75">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c r="BA700" s="11"/>
      <c r="BB700" s="11"/>
      <c r="BC700" s="11"/>
      <c r="BD700" s="11"/>
      <c r="BE700" s="11"/>
      <c r="BF700" s="11"/>
      <c r="BG700" s="11"/>
      <c r="BH700" s="11"/>
      <c r="BI700" s="11"/>
      <c r="BJ700" s="11"/>
      <c r="BK700" s="11"/>
    </row>
    <row r="701" spans="1:63" ht="12.75">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c r="BA701" s="11"/>
      <c r="BB701" s="11"/>
      <c r="BC701" s="11"/>
      <c r="BD701" s="11"/>
      <c r="BE701" s="11"/>
      <c r="BF701" s="11"/>
      <c r="BG701" s="11"/>
      <c r="BH701" s="11"/>
      <c r="BI701" s="11"/>
      <c r="BJ701" s="11"/>
      <c r="BK701" s="11"/>
    </row>
    <row r="702" spans="1:63" ht="12.75">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c r="BA702" s="11"/>
      <c r="BB702" s="11"/>
      <c r="BC702" s="11"/>
      <c r="BD702" s="11"/>
      <c r="BE702" s="11"/>
      <c r="BF702" s="11"/>
      <c r="BG702" s="11"/>
      <c r="BH702" s="11"/>
      <c r="BI702" s="11"/>
      <c r="BJ702" s="11"/>
      <c r="BK702" s="11"/>
    </row>
    <row r="703" spans="1:63" ht="12.75">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c r="BA703" s="11"/>
      <c r="BB703" s="11"/>
      <c r="BC703" s="11"/>
      <c r="BD703" s="11"/>
      <c r="BE703" s="11"/>
      <c r="BF703" s="11"/>
      <c r="BG703" s="11"/>
      <c r="BH703" s="11"/>
      <c r="BI703" s="11"/>
      <c r="BJ703" s="11"/>
      <c r="BK703" s="11"/>
    </row>
    <row r="704" spans="1:63" ht="12.75">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c r="AE704" s="11"/>
      <c r="AF704" s="11"/>
      <c r="AG704" s="11"/>
      <c r="AH704" s="11"/>
      <c r="AI704" s="11"/>
      <c r="AJ704" s="11"/>
      <c r="AK704" s="11"/>
      <c r="AL704" s="11"/>
      <c r="AM704" s="11"/>
      <c r="AN704" s="11"/>
      <c r="AO704" s="11"/>
      <c r="AP704" s="11"/>
      <c r="AQ704" s="11"/>
      <c r="AR704" s="11"/>
      <c r="AS704" s="11"/>
      <c r="AT704" s="11"/>
      <c r="AU704" s="11"/>
      <c r="AV704" s="11"/>
      <c r="AW704" s="11"/>
      <c r="AX704" s="11"/>
      <c r="AY704" s="11"/>
      <c r="AZ704" s="11"/>
      <c r="BA704" s="11"/>
      <c r="BB704" s="11"/>
      <c r="BC704" s="11"/>
      <c r="BD704" s="11"/>
      <c r="BE704" s="11"/>
      <c r="BF704" s="11"/>
      <c r="BG704" s="11"/>
      <c r="BH704" s="11"/>
      <c r="BI704" s="11"/>
      <c r="BJ704" s="11"/>
      <c r="BK704" s="11"/>
    </row>
    <row r="705" spans="1:63" ht="12.7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c r="BA705" s="11"/>
      <c r="BB705" s="11"/>
      <c r="BC705" s="11"/>
      <c r="BD705" s="11"/>
      <c r="BE705" s="11"/>
      <c r="BF705" s="11"/>
      <c r="BG705" s="11"/>
      <c r="BH705" s="11"/>
      <c r="BI705" s="11"/>
      <c r="BJ705" s="11"/>
      <c r="BK705" s="11"/>
    </row>
    <row r="706" spans="1:63" ht="12.75">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c r="BA706" s="11"/>
      <c r="BB706" s="11"/>
      <c r="BC706" s="11"/>
      <c r="BD706" s="11"/>
      <c r="BE706" s="11"/>
      <c r="BF706" s="11"/>
      <c r="BG706" s="11"/>
      <c r="BH706" s="11"/>
      <c r="BI706" s="11"/>
      <c r="BJ706" s="11"/>
      <c r="BK706" s="11"/>
    </row>
    <row r="707" spans="1:63" ht="12.75">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c r="BA707" s="11"/>
      <c r="BB707" s="11"/>
      <c r="BC707" s="11"/>
      <c r="BD707" s="11"/>
      <c r="BE707" s="11"/>
      <c r="BF707" s="11"/>
      <c r="BG707" s="11"/>
      <c r="BH707" s="11"/>
      <c r="BI707" s="11"/>
      <c r="BJ707" s="11"/>
      <c r="BK707" s="11"/>
    </row>
    <row r="708" spans="1:63" ht="12.75">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c r="BA708" s="11"/>
      <c r="BB708" s="11"/>
      <c r="BC708" s="11"/>
      <c r="BD708" s="11"/>
      <c r="BE708" s="11"/>
      <c r="BF708" s="11"/>
      <c r="BG708" s="11"/>
      <c r="BH708" s="11"/>
      <c r="BI708" s="11"/>
      <c r="BJ708" s="11"/>
      <c r="BK708" s="11"/>
    </row>
    <row r="709" spans="1:63" ht="12.75">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c r="BA709" s="11"/>
      <c r="BB709" s="11"/>
      <c r="BC709" s="11"/>
      <c r="BD709" s="11"/>
      <c r="BE709" s="11"/>
      <c r="BF709" s="11"/>
      <c r="BG709" s="11"/>
      <c r="BH709" s="11"/>
      <c r="BI709" s="11"/>
      <c r="BJ709" s="11"/>
      <c r="BK709" s="11"/>
    </row>
    <row r="710" spans="1:63" ht="12.75">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c r="BA710" s="11"/>
      <c r="BB710" s="11"/>
      <c r="BC710" s="11"/>
      <c r="BD710" s="11"/>
      <c r="BE710" s="11"/>
      <c r="BF710" s="11"/>
      <c r="BG710" s="11"/>
      <c r="BH710" s="11"/>
      <c r="BI710" s="11"/>
      <c r="BJ710" s="11"/>
      <c r="BK710" s="11"/>
    </row>
    <row r="711" spans="1:63" ht="12.75">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c r="BA711" s="11"/>
      <c r="BB711" s="11"/>
      <c r="BC711" s="11"/>
      <c r="BD711" s="11"/>
      <c r="BE711" s="11"/>
      <c r="BF711" s="11"/>
      <c r="BG711" s="11"/>
      <c r="BH711" s="11"/>
      <c r="BI711" s="11"/>
      <c r="BJ711" s="11"/>
      <c r="BK711" s="11"/>
    </row>
    <row r="712" spans="1:63" ht="12.75">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c r="BA712" s="11"/>
      <c r="BB712" s="11"/>
      <c r="BC712" s="11"/>
      <c r="BD712" s="11"/>
      <c r="BE712" s="11"/>
      <c r="BF712" s="11"/>
      <c r="BG712" s="11"/>
      <c r="BH712" s="11"/>
      <c r="BI712" s="11"/>
      <c r="BJ712" s="11"/>
      <c r="BK712" s="11"/>
    </row>
    <row r="713" spans="1:63" ht="12.75">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c r="BA713" s="11"/>
      <c r="BB713" s="11"/>
      <c r="BC713" s="11"/>
      <c r="BD713" s="11"/>
      <c r="BE713" s="11"/>
      <c r="BF713" s="11"/>
      <c r="BG713" s="11"/>
      <c r="BH713" s="11"/>
      <c r="BI713" s="11"/>
      <c r="BJ713" s="11"/>
      <c r="BK713" s="11"/>
    </row>
    <row r="714" spans="1:63" ht="12.75">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c r="BA714" s="11"/>
      <c r="BB714" s="11"/>
      <c r="BC714" s="11"/>
      <c r="BD714" s="11"/>
      <c r="BE714" s="11"/>
      <c r="BF714" s="11"/>
      <c r="BG714" s="11"/>
      <c r="BH714" s="11"/>
      <c r="BI714" s="11"/>
      <c r="BJ714" s="11"/>
      <c r="BK714" s="11"/>
    </row>
    <row r="715" spans="1:63" ht="12.7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c r="BA715" s="11"/>
      <c r="BB715" s="11"/>
      <c r="BC715" s="11"/>
      <c r="BD715" s="11"/>
      <c r="BE715" s="11"/>
      <c r="BF715" s="11"/>
      <c r="BG715" s="11"/>
      <c r="BH715" s="11"/>
      <c r="BI715" s="11"/>
      <c r="BJ715" s="11"/>
      <c r="BK715" s="11"/>
    </row>
    <row r="716" spans="1:63" ht="12.75">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c r="BA716" s="11"/>
      <c r="BB716" s="11"/>
      <c r="BC716" s="11"/>
      <c r="BD716" s="11"/>
      <c r="BE716" s="11"/>
      <c r="BF716" s="11"/>
      <c r="BG716" s="11"/>
      <c r="BH716" s="11"/>
      <c r="BI716" s="11"/>
      <c r="BJ716" s="11"/>
      <c r="BK716" s="11"/>
    </row>
    <row r="717" spans="1:63" ht="12.75">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c r="BA717" s="11"/>
      <c r="BB717" s="11"/>
      <c r="BC717" s="11"/>
      <c r="BD717" s="11"/>
      <c r="BE717" s="11"/>
      <c r="BF717" s="11"/>
      <c r="BG717" s="11"/>
      <c r="BH717" s="11"/>
      <c r="BI717" s="11"/>
      <c r="BJ717" s="11"/>
      <c r="BK717" s="11"/>
    </row>
    <row r="718" spans="1:63" ht="12.75">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c r="BA718" s="11"/>
      <c r="BB718" s="11"/>
      <c r="BC718" s="11"/>
      <c r="BD718" s="11"/>
      <c r="BE718" s="11"/>
      <c r="BF718" s="11"/>
      <c r="BG718" s="11"/>
      <c r="BH718" s="11"/>
      <c r="BI718" s="11"/>
      <c r="BJ718" s="11"/>
      <c r="BK718" s="11"/>
    </row>
    <row r="719" spans="1:63" ht="12.75">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c r="BA719" s="11"/>
      <c r="BB719" s="11"/>
      <c r="BC719" s="11"/>
      <c r="BD719" s="11"/>
      <c r="BE719" s="11"/>
      <c r="BF719" s="11"/>
      <c r="BG719" s="11"/>
      <c r="BH719" s="11"/>
      <c r="BI719" s="11"/>
      <c r="BJ719" s="11"/>
      <c r="BK719" s="11"/>
    </row>
    <row r="720" spans="1:63" ht="12.75">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c r="BA720" s="11"/>
      <c r="BB720" s="11"/>
      <c r="BC720" s="11"/>
      <c r="BD720" s="11"/>
      <c r="BE720" s="11"/>
      <c r="BF720" s="11"/>
      <c r="BG720" s="11"/>
      <c r="BH720" s="11"/>
      <c r="BI720" s="11"/>
      <c r="BJ720" s="11"/>
      <c r="BK720" s="11"/>
    </row>
    <row r="721" spans="1:63" ht="12.75">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c r="BA721" s="11"/>
      <c r="BB721" s="11"/>
      <c r="BC721" s="11"/>
      <c r="BD721" s="11"/>
      <c r="BE721" s="11"/>
      <c r="BF721" s="11"/>
      <c r="BG721" s="11"/>
      <c r="BH721" s="11"/>
      <c r="BI721" s="11"/>
      <c r="BJ721" s="11"/>
      <c r="BK721" s="11"/>
    </row>
    <row r="722" spans="1:63" ht="12.75">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c r="BA722" s="11"/>
      <c r="BB722" s="11"/>
      <c r="BC722" s="11"/>
      <c r="BD722" s="11"/>
      <c r="BE722" s="11"/>
      <c r="BF722" s="11"/>
      <c r="BG722" s="11"/>
      <c r="BH722" s="11"/>
      <c r="BI722" s="11"/>
      <c r="BJ722" s="11"/>
      <c r="BK722" s="11"/>
    </row>
    <row r="723" spans="1:63" ht="12.75">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c r="BA723" s="11"/>
      <c r="BB723" s="11"/>
      <c r="BC723" s="11"/>
      <c r="BD723" s="11"/>
      <c r="BE723" s="11"/>
      <c r="BF723" s="11"/>
      <c r="BG723" s="11"/>
      <c r="BH723" s="11"/>
      <c r="BI723" s="11"/>
      <c r="BJ723" s="11"/>
      <c r="BK723" s="11"/>
    </row>
    <row r="724" spans="1:63" ht="12.75">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c r="BA724" s="11"/>
      <c r="BB724" s="11"/>
      <c r="BC724" s="11"/>
      <c r="BD724" s="11"/>
      <c r="BE724" s="11"/>
      <c r="BF724" s="11"/>
      <c r="BG724" s="11"/>
      <c r="BH724" s="11"/>
      <c r="BI724" s="11"/>
      <c r="BJ724" s="11"/>
      <c r="BK724" s="11"/>
    </row>
    <row r="725" spans="1:63" ht="12.7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c r="BA725" s="11"/>
      <c r="BB725" s="11"/>
      <c r="BC725" s="11"/>
      <c r="BD725" s="11"/>
      <c r="BE725" s="11"/>
      <c r="BF725" s="11"/>
      <c r="BG725" s="11"/>
      <c r="BH725" s="11"/>
      <c r="BI725" s="11"/>
      <c r="BJ725" s="11"/>
      <c r="BK725" s="11"/>
    </row>
    <row r="726" spans="1:63" ht="12.75">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c r="BA726" s="11"/>
      <c r="BB726" s="11"/>
      <c r="BC726" s="11"/>
      <c r="BD726" s="11"/>
      <c r="BE726" s="11"/>
      <c r="BF726" s="11"/>
      <c r="BG726" s="11"/>
      <c r="BH726" s="11"/>
      <c r="BI726" s="11"/>
      <c r="BJ726" s="11"/>
      <c r="BK726" s="11"/>
    </row>
    <row r="727" spans="1:63" ht="12.75">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c r="BA727" s="11"/>
      <c r="BB727" s="11"/>
      <c r="BC727" s="11"/>
      <c r="BD727" s="11"/>
      <c r="BE727" s="11"/>
      <c r="BF727" s="11"/>
      <c r="BG727" s="11"/>
      <c r="BH727" s="11"/>
      <c r="BI727" s="11"/>
      <c r="BJ727" s="11"/>
      <c r="BK727" s="11"/>
    </row>
    <row r="728" spans="1:63" ht="12.75">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c r="BA728" s="11"/>
      <c r="BB728" s="11"/>
      <c r="BC728" s="11"/>
      <c r="BD728" s="11"/>
      <c r="BE728" s="11"/>
      <c r="BF728" s="11"/>
      <c r="BG728" s="11"/>
      <c r="BH728" s="11"/>
      <c r="BI728" s="11"/>
      <c r="BJ728" s="11"/>
      <c r="BK728" s="11"/>
    </row>
    <row r="729" spans="1:63" ht="12.75">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c r="BA729" s="11"/>
      <c r="BB729" s="11"/>
      <c r="BC729" s="11"/>
      <c r="BD729" s="11"/>
      <c r="BE729" s="11"/>
      <c r="BF729" s="11"/>
      <c r="BG729" s="11"/>
      <c r="BH729" s="11"/>
      <c r="BI729" s="11"/>
      <c r="BJ729" s="11"/>
      <c r="BK729" s="11"/>
    </row>
    <row r="730" spans="1:63" ht="12.75">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c r="BA730" s="11"/>
      <c r="BB730" s="11"/>
      <c r="BC730" s="11"/>
      <c r="BD730" s="11"/>
      <c r="BE730" s="11"/>
      <c r="BF730" s="11"/>
      <c r="BG730" s="11"/>
      <c r="BH730" s="11"/>
      <c r="BI730" s="11"/>
      <c r="BJ730" s="11"/>
      <c r="BK730" s="11"/>
    </row>
    <row r="731" spans="1:63" ht="12.75">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c r="BA731" s="11"/>
      <c r="BB731" s="11"/>
      <c r="BC731" s="11"/>
      <c r="BD731" s="11"/>
      <c r="BE731" s="11"/>
      <c r="BF731" s="11"/>
      <c r="BG731" s="11"/>
      <c r="BH731" s="11"/>
      <c r="BI731" s="11"/>
      <c r="BJ731" s="11"/>
      <c r="BK731" s="11"/>
    </row>
    <row r="732" spans="1:63" ht="12.75">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c r="BA732" s="11"/>
      <c r="BB732" s="11"/>
      <c r="BC732" s="11"/>
      <c r="BD732" s="11"/>
      <c r="BE732" s="11"/>
      <c r="BF732" s="11"/>
      <c r="BG732" s="11"/>
      <c r="BH732" s="11"/>
      <c r="BI732" s="11"/>
      <c r="BJ732" s="11"/>
      <c r="BK732" s="11"/>
    </row>
    <row r="733" spans="1:63" ht="12.75">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c r="BA733" s="11"/>
      <c r="BB733" s="11"/>
      <c r="BC733" s="11"/>
      <c r="BD733" s="11"/>
      <c r="BE733" s="11"/>
      <c r="BF733" s="11"/>
      <c r="BG733" s="11"/>
      <c r="BH733" s="11"/>
      <c r="BI733" s="11"/>
      <c r="BJ733" s="11"/>
      <c r="BK733" s="11"/>
    </row>
    <row r="734" spans="1:63" ht="12.75">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c r="BA734" s="11"/>
      <c r="BB734" s="11"/>
      <c r="BC734" s="11"/>
      <c r="BD734" s="11"/>
      <c r="BE734" s="11"/>
      <c r="BF734" s="11"/>
      <c r="BG734" s="11"/>
      <c r="BH734" s="11"/>
      <c r="BI734" s="11"/>
      <c r="BJ734" s="11"/>
      <c r="BK734" s="11"/>
    </row>
    <row r="735" spans="1:63" ht="12.7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c r="BA735" s="11"/>
      <c r="BB735" s="11"/>
      <c r="BC735" s="11"/>
      <c r="BD735" s="11"/>
      <c r="BE735" s="11"/>
      <c r="BF735" s="11"/>
      <c r="BG735" s="11"/>
      <c r="BH735" s="11"/>
      <c r="BI735" s="11"/>
      <c r="BJ735" s="11"/>
      <c r="BK735" s="11"/>
    </row>
    <row r="736" spans="1:63" ht="12.75">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c r="BA736" s="11"/>
      <c r="BB736" s="11"/>
      <c r="BC736" s="11"/>
      <c r="BD736" s="11"/>
      <c r="BE736" s="11"/>
      <c r="BF736" s="11"/>
      <c r="BG736" s="11"/>
      <c r="BH736" s="11"/>
      <c r="BI736" s="11"/>
      <c r="BJ736" s="11"/>
      <c r="BK736" s="11"/>
    </row>
    <row r="737" spans="1:63" ht="12.75">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c r="BA737" s="11"/>
      <c r="BB737" s="11"/>
      <c r="BC737" s="11"/>
      <c r="BD737" s="11"/>
      <c r="BE737" s="11"/>
      <c r="BF737" s="11"/>
      <c r="BG737" s="11"/>
      <c r="BH737" s="11"/>
      <c r="BI737" s="11"/>
      <c r="BJ737" s="11"/>
      <c r="BK737" s="11"/>
    </row>
    <row r="738" spans="1:63" ht="12.75">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c r="BA738" s="11"/>
      <c r="BB738" s="11"/>
      <c r="BC738" s="11"/>
      <c r="BD738" s="11"/>
      <c r="BE738" s="11"/>
      <c r="BF738" s="11"/>
      <c r="BG738" s="11"/>
      <c r="BH738" s="11"/>
      <c r="BI738" s="11"/>
      <c r="BJ738" s="11"/>
      <c r="BK738" s="11"/>
    </row>
    <row r="739" spans="1:63" ht="12.75">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c r="BA739" s="11"/>
      <c r="BB739" s="11"/>
      <c r="BC739" s="11"/>
      <c r="BD739" s="11"/>
      <c r="BE739" s="11"/>
      <c r="BF739" s="11"/>
      <c r="BG739" s="11"/>
      <c r="BH739" s="11"/>
      <c r="BI739" s="11"/>
      <c r="BJ739" s="11"/>
      <c r="BK739" s="11"/>
    </row>
    <row r="740" spans="1:63" ht="12.75">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c r="BA740" s="11"/>
      <c r="BB740" s="11"/>
      <c r="BC740" s="11"/>
      <c r="BD740" s="11"/>
      <c r="BE740" s="11"/>
      <c r="BF740" s="11"/>
      <c r="BG740" s="11"/>
      <c r="BH740" s="11"/>
      <c r="BI740" s="11"/>
      <c r="BJ740" s="11"/>
      <c r="BK740" s="11"/>
    </row>
    <row r="741" spans="1:63" ht="12.75">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c r="BA741" s="11"/>
      <c r="BB741" s="11"/>
      <c r="BC741" s="11"/>
      <c r="BD741" s="11"/>
      <c r="BE741" s="11"/>
      <c r="BF741" s="11"/>
      <c r="BG741" s="11"/>
      <c r="BH741" s="11"/>
      <c r="BI741" s="11"/>
      <c r="BJ741" s="11"/>
      <c r="BK741" s="11"/>
    </row>
    <row r="742" spans="1:63" ht="12.75">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c r="BA742" s="11"/>
      <c r="BB742" s="11"/>
      <c r="BC742" s="11"/>
      <c r="BD742" s="11"/>
      <c r="BE742" s="11"/>
      <c r="BF742" s="11"/>
      <c r="BG742" s="11"/>
      <c r="BH742" s="11"/>
      <c r="BI742" s="11"/>
      <c r="BJ742" s="11"/>
      <c r="BK742" s="11"/>
    </row>
    <row r="743" spans="1:63" ht="12.75">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c r="BA743" s="11"/>
      <c r="BB743" s="11"/>
      <c r="BC743" s="11"/>
      <c r="BD743" s="11"/>
      <c r="BE743" s="11"/>
      <c r="BF743" s="11"/>
      <c r="BG743" s="11"/>
      <c r="BH743" s="11"/>
      <c r="BI743" s="11"/>
      <c r="BJ743" s="11"/>
      <c r="BK743" s="11"/>
    </row>
    <row r="744" spans="1:63" ht="12.75">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c r="BA744" s="11"/>
      <c r="BB744" s="11"/>
      <c r="BC744" s="11"/>
      <c r="BD744" s="11"/>
      <c r="BE744" s="11"/>
      <c r="BF744" s="11"/>
      <c r="BG744" s="11"/>
      <c r="BH744" s="11"/>
      <c r="BI744" s="11"/>
      <c r="BJ744" s="11"/>
      <c r="BK744" s="11"/>
    </row>
    <row r="745" spans="1:63" ht="12.7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c r="BA745" s="11"/>
      <c r="BB745" s="11"/>
      <c r="BC745" s="11"/>
      <c r="BD745" s="11"/>
      <c r="BE745" s="11"/>
      <c r="BF745" s="11"/>
      <c r="BG745" s="11"/>
      <c r="BH745" s="11"/>
      <c r="BI745" s="11"/>
      <c r="BJ745" s="11"/>
      <c r="BK745" s="11"/>
    </row>
    <row r="746" spans="1:63" ht="12.75">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c r="BA746" s="11"/>
      <c r="BB746" s="11"/>
      <c r="BC746" s="11"/>
      <c r="BD746" s="11"/>
      <c r="BE746" s="11"/>
      <c r="BF746" s="11"/>
      <c r="BG746" s="11"/>
      <c r="BH746" s="11"/>
      <c r="BI746" s="11"/>
      <c r="BJ746" s="11"/>
      <c r="BK746" s="11"/>
    </row>
    <row r="747" spans="1:63" ht="12.75">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c r="BA747" s="11"/>
      <c r="BB747" s="11"/>
      <c r="BC747" s="11"/>
      <c r="BD747" s="11"/>
      <c r="BE747" s="11"/>
      <c r="BF747" s="11"/>
      <c r="BG747" s="11"/>
      <c r="BH747" s="11"/>
      <c r="BI747" s="11"/>
      <c r="BJ747" s="11"/>
      <c r="BK747" s="11"/>
    </row>
    <row r="748" spans="1:63" ht="12.75">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c r="AE748" s="11"/>
      <c r="AF748" s="11"/>
      <c r="AG748" s="11"/>
      <c r="AH748" s="11"/>
      <c r="AI748" s="11"/>
      <c r="AJ748" s="11"/>
      <c r="AK748" s="11"/>
      <c r="AL748" s="11"/>
      <c r="AM748" s="11"/>
      <c r="AN748" s="11"/>
      <c r="AO748" s="11"/>
      <c r="AP748" s="11"/>
      <c r="AQ748" s="11"/>
      <c r="AR748" s="11"/>
      <c r="AS748" s="11"/>
      <c r="AT748" s="11"/>
      <c r="AU748" s="11"/>
      <c r="AV748" s="11"/>
      <c r="AW748" s="11"/>
      <c r="AX748" s="11"/>
      <c r="AY748" s="11"/>
      <c r="AZ748" s="11"/>
      <c r="BA748" s="11"/>
      <c r="BB748" s="11"/>
      <c r="BC748" s="11"/>
      <c r="BD748" s="11"/>
      <c r="BE748" s="11"/>
      <c r="BF748" s="11"/>
      <c r="BG748" s="11"/>
      <c r="BH748" s="11"/>
      <c r="BI748" s="11"/>
      <c r="BJ748" s="11"/>
      <c r="BK748" s="11"/>
    </row>
    <row r="749" spans="1:63" ht="12.75">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c r="BA749" s="11"/>
      <c r="BB749" s="11"/>
      <c r="BC749" s="11"/>
      <c r="BD749" s="11"/>
      <c r="BE749" s="11"/>
      <c r="BF749" s="11"/>
      <c r="BG749" s="11"/>
      <c r="BH749" s="11"/>
      <c r="BI749" s="11"/>
      <c r="BJ749" s="11"/>
      <c r="BK749" s="11"/>
    </row>
    <row r="750" spans="1:63" ht="12.75">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c r="BA750" s="11"/>
      <c r="BB750" s="11"/>
      <c r="BC750" s="11"/>
      <c r="BD750" s="11"/>
      <c r="BE750" s="11"/>
      <c r="BF750" s="11"/>
      <c r="BG750" s="11"/>
      <c r="BH750" s="11"/>
      <c r="BI750" s="11"/>
      <c r="BJ750" s="11"/>
      <c r="BK750" s="11"/>
    </row>
    <row r="751" spans="1:63" ht="12.75">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c r="BA751" s="11"/>
      <c r="BB751" s="11"/>
      <c r="BC751" s="11"/>
      <c r="BD751" s="11"/>
      <c r="BE751" s="11"/>
      <c r="BF751" s="11"/>
      <c r="BG751" s="11"/>
      <c r="BH751" s="11"/>
      <c r="BI751" s="11"/>
      <c r="BJ751" s="11"/>
      <c r="BK751" s="11"/>
    </row>
    <row r="752" spans="1:63" ht="12.75">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c r="BA752" s="11"/>
      <c r="BB752" s="11"/>
      <c r="BC752" s="11"/>
      <c r="BD752" s="11"/>
      <c r="BE752" s="11"/>
      <c r="BF752" s="11"/>
      <c r="BG752" s="11"/>
      <c r="BH752" s="11"/>
      <c r="BI752" s="11"/>
      <c r="BJ752" s="11"/>
      <c r="BK752" s="11"/>
    </row>
    <row r="753" spans="1:63" ht="12.75">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c r="BA753" s="11"/>
      <c r="BB753" s="11"/>
      <c r="BC753" s="11"/>
      <c r="BD753" s="11"/>
      <c r="BE753" s="11"/>
      <c r="BF753" s="11"/>
      <c r="BG753" s="11"/>
      <c r="BH753" s="11"/>
      <c r="BI753" s="11"/>
      <c r="BJ753" s="11"/>
      <c r="BK753" s="11"/>
    </row>
    <row r="754" spans="1:63" ht="12.75">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c r="BA754" s="11"/>
      <c r="BB754" s="11"/>
      <c r="BC754" s="11"/>
      <c r="BD754" s="11"/>
      <c r="BE754" s="11"/>
      <c r="BF754" s="11"/>
      <c r="BG754" s="11"/>
      <c r="BH754" s="11"/>
      <c r="BI754" s="11"/>
      <c r="BJ754" s="11"/>
      <c r="BK754" s="11"/>
    </row>
    <row r="755" spans="1:63" ht="12.7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c r="BA755" s="11"/>
      <c r="BB755" s="11"/>
      <c r="BC755" s="11"/>
      <c r="BD755" s="11"/>
      <c r="BE755" s="11"/>
      <c r="BF755" s="11"/>
      <c r="BG755" s="11"/>
      <c r="BH755" s="11"/>
      <c r="BI755" s="11"/>
      <c r="BJ755" s="11"/>
      <c r="BK755" s="11"/>
    </row>
    <row r="756" spans="1:63" ht="12.75">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c r="BA756" s="11"/>
      <c r="BB756" s="11"/>
      <c r="BC756" s="11"/>
      <c r="BD756" s="11"/>
      <c r="BE756" s="11"/>
      <c r="BF756" s="11"/>
      <c r="BG756" s="11"/>
      <c r="BH756" s="11"/>
      <c r="BI756" s="11"/>
      <c r="BJ756" s="11"/>
      <c r="BK756" s="11"/>
    </row>
    <row r="757" spans="1:63" ht="12.75">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c r="BA757" s="11"/>
      <c r="BB757" s="11"/>
      <c r="BC757" s="11"/>
      <c r="BD757" s="11"/>
      <c r="BE757" s="11"/>
      <c r="BF757" s="11"/>
      <c r="BG757" s="11"/>
      <c r="BH757" s="11"/>
      <c r="BI757" s="11"/>
      <c r="BJ757" s="11"/>
      <c r="BK757" s="11"/>
    </row>
    <row r="758" spans="1:63" ht="12.75">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c r="BA758" s="11"/>
      <c r="BB758" s="11"/>
      <c r="BC758" s="11"/>
      <c r="BD758" s="11"/>
      <c r="BE758" s="11"/>
      <c r="BF758" s="11"/>
      <c r="BG758" s="11"/>
      <c r="BH758" s="11"/>
      <c r="BI758" s="11"/>
      <c r="BJ758" s="11"/>
      <c r="BK758" s="11"/>
    </row>
    <row r="759" spans="1:63" ht="12.75">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c r="BA759" s="11"/>
      <c r="BB759" s="11"/>
      <c r="BC759" s="11"/>
      <c r="BD759" s="11"/>
      <c r="BE759" s="11"/>
      <c r="BF759" s="11"/>
      <c r="BG759" s="11"/>
      <c r="BH759" s="11"/>
      <c r="BI759" s="11"/>
      <c r="BJ759" s="11"/>
      <c r="BK759" s="11"/>
    </row>
    <row r="760" spans="1:63" ht="12.75">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c r="BA760" s="11"/>
      <c r="BB760" s="11"/>
      <c r="BC760" s="11"/>
      <c r="BD760" s="11"/>
      <c r="BE760" s="11"/>
      <c r="BF760" s="11"/>
      <c r="BG760" s="11"/>
      <c r="BH760" s="11"/>
      <c r="BI760" s="11"/>
      <c r="BJ760" s="11"/>
      <c r="BK760" s="11"/>
    </row>
    <row r="761" spans="1:63" ht="12.75">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c r="BA761" s="11"/>
      <c r="BB761" s="11"/>
      <c r="BC761" s="11"/>
      <c r="BD761" s="11"/>
      <c r="BE761" s="11"/>
      <c r="BF761" s="11"/>
      <c r="BG761" s="11"/>
      <c r="BH761" s="11"/>
      <c r="BI761" s="11"/>
      <c r="BJ761" s="11"/>
      <c r="BK761" s="11"/>
    </row>
    <row r="762" spans="1:63" ht="12.75">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c r="BA762" s="11"/>
      <c r="BB762" s="11"/>
      <c r="BC762" s="11"/>
      <c r="BD762" s="11"/>
      <c r="BE762" s="11"/>
      <c r="BF762" s="11"/>
      <c r="BG762" s="11"/>
      <c r="BH762" s="11"/>
      <c r="BI762" s="11"/>
      <c r="BJ762" s="11"/>
      <c r="BK762" s="11"/>
    </row>
    <row r="763" spans="1:63" ht="12.75">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c r="BA763" s="11"/>
      <c r="BB763" s="11"/>
      <c r="BC763" s="11"/>
      <c r="BD763" s="11"/>
      <c r="BE763" s="11"/>
      <c r="BF763" s="11"/>
      <c r="BG763" s="11"/>
      <c r="BH763" s="11"/>
      <c r="BI763" s="11"/>
      <c r="BJ763" s="11"/>
      <c r="BK763" s="11"/>
    </row>
    <row r="764" spans="1:63" ht="12.75">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c r="BA764" s="11"/>
      <c r="BB764" s="11"/>
      <c r="BC764" s="11"/>
      <c r="BD764" s="11"/>
      <c r="BE764" s="11"/>
      <c r="BF764" s="11"/>
      <c r="BG764" s="11"/>
      <c r="BH764" s="11"/>
      <c r="BI764" s="11"/>
      <c r="BJ764" s="11"/>
      <c r="BK764" s="11"/>
    </row>
    <row r="765" spans="1:63" ht="12.7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c r="BA765" s="11"/>
      <c r="BB765" s="11"/>
      <c r="BC765" s="11"/>
      <c r="BD765" s="11"/>
      <c r="BE765" s="11"/>
      <c r="BF765" s="11"/>
      <c r="BG765" s="11"/>
      <c r="BH765" s="11"/>
      <c r="BI765" s="11"/>
      <c r="BJ765" s="11"/>
      <c r="BK765" s="11"/>
    </row>
    <row r="766" spans="1:63" ht="12.75">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c r="BA766" s="11"/>
      <c r="BB766" s="11"/>
      <c r="BC766" s="11"/>
      <c r="BD766" s="11"/>
      <c r="BE766" s="11"/>
      <c r="BF766" s="11"/>
      <c r="BG766" s="11"/>
      <c r="BH766" s="11"/>
      <c r="BI766" s="11"/>
      <c r="BJ766" s="11"/>
      <c r="BK766" s="11"/>
    </row>
    <row r="767" spans="1:63" ht="12.75">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c r="BA767" s="11"/>
      <c r="BB767" s="11"/>
      <c r="BC767" s="11"/>
      <c r="BD767" s="11"/>
      <c r="BE767" s="11"/>
      <c r="BF767" s="11"/>
      <c r="BG767" s="11"/>
      <c r="BH767" s="11"/>
      <c r="BI767" s="11"/>
      <c r="BJ767" s="11"/>
      <c r="BK767" s="11"/>
    </row>
    <row r="768" spans="1:63" ht="12.75">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c r="BA768" s="11"/>
      <c r="BB768" s="11"/>
      <c r="BC768" s="11"/>
      <c r="BD768" s="11"/>
      <c r="BE768" s="11"/>
      <c r="BF768" s="11"/>
      <c r="BG768" s="11"/>
      <c r="BH768" s="11"/>
      <c r="BI768" s="11"/>
      <c r="BJ768" s="11"/>
      <c r="BK768" s="11"/>
    </row>
    <row r="769" spans="1:63" ht="12.75">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c r="BA769" s="11"/>
      <c r="BB769" s="11"/>
      <c r="BC769" s="11"/>
      <c r="BD769" s="11"/>
      <c r="BE769" s="11"/>
      <c r="BF769" s="11"/>
      <c r="BG769" s="11"/>
      <c r="BH769" s="11"/>
      <c r="BI769" s="11"/>
      <c r="BJ769" s="11"/>
      <c r="BK769" s="11"/>
    </row>
    <row r="770" spans="1:63" ht="12.75">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c r="BA770" s="11"/>
      <c r="BB770" s="11"/>
      <c r="BC770" s="11"/>
      <c r="BD770" s="11"/>
      <c r="BE770" s="11"/>
      <c r="BF770" s="11"/>
      <c r="BG770" s="11"/>
      <c r="BH770" s="11"/>
      <c r="BI770" s="11"/>
      <c r="BJ770" s="11"/>
      <c r="BK770" s="11"/>
    </row>
    <row r="771" spans="1:63" ht="12.75">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c r="BA771" s="11"/>
      <c r="BB771" s="11"/>
      <c r="BC771" s="11"/>
      <c r="BD771" s="11"/>
      <c r="BE771" s="11"/>
      <c r="BF771" s="11"/>
      <c r="BG771" s="11"/>
      <c r="BH771" s="11"/>
      <c r="BI771" s="11"/>
      <c r="BJ771" s="11"/>
      <c r="BK771" s="11"/>
    </row>
    <row r="772" spans="1:63" ht="12.75">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c r="BA772" s="11"/>
      <c r="BB772" s="11"/>
      <c r="BC772" s="11"/>
      <c r="BD772" s="11"/>
      <c r="BE772" s="11"/>
      <c r="BF772" s="11"/>
      <c r="BG772" s="11"/>
      <c r="BH772" s="11"/>
      <c r="BI772" s="11"/>
      <c r="BJ772" s="11"/>
      <c r="BK772" s="11"/>
    </row>
    <row r="773" spans="1:63" ht="12.75">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c r="BA773" s="11"/>
      <c r="BB773" s="11"/>
      <c r="BC773" s="11"/>
      <c r="BD773" s="11"/>
      <c r="BE773" s="11"/>
      <c r="BF773" s="11"/>
      <c r="BG773" s="11"/>
      <c r="BH773" s="11"/>
      <c r="BI773" s="11"/>
      <c r="BJ773" s="11"/>
      <c r="BK773" s="11"/>
    </row>
    <row r="774" spans="1:63" ht="12.75">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c r="BA774" s="11"/>
      <c r="BB774" s="11"/>
      <c r="BC774" s="11"/>
      <c r="BD774" s="11"/>
      <c r="BE774" s="11"/>
      <c r="BF774" s="11"/>
      <c r="BG774" s="11"/>
      <c r="BH774" s="11"/>
      <c r="BI774" s="11"/>
      <c r="BJ774" s="11"/>
      <c r="BK774" s="11"/>
    </row>
    <row r="775" spans="1:63" ht="12.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c r="BA775" s="11"/>
      <c r="BB775" s="11"/>
      <c r="BC775" s="11"/>
      <c r="BD775" s="11"/>
      <c r="BE775" s="11"/>
      <c r="BF775" s="11"/>
      <c r="BG775" s="11"/>
      <c r="BH775" s="11"/>
      <c r="BI775" s="11"/>
      <c r="BJ775" s="11"/>
      <c r="BK775" s="11"/>
    </row>
    <row r="776" spans="1:63" ht="12.75">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c r="BA776" s="11"/>
      <c r="BB776" s="11"/>
      <c r="BC776" s="11"/>
      <c r="BD776" s="11"/>
      <c r="BE776" s="11"/>
      <c r="BF776" s="11"/>
      <c r="BG776" s="11"/>
      <c r="BH776" s="11"/>
      <c r="BI776" s="11"/>
      <c r="BJ776" s="11"/>
      <c r="BK776" s="11"/>
    </row>
    <row r="777" spans="1:63" ht="12.75">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c r="BA777" s="11"/>
      <c r="BB777" s="11"/>
      <c r="BC777" s="11"/>
      <c r="BD777" s="11"/>
      <c r="BE777" s="11"/>
      <c r="BF777" s="11"/>
      <c r="BG777" s="11"/>
      <c r="BH777" s="11"/>
      <c r="BI777" s="11"/>
      <c r="BJ777" s="11"/>
      <c r="BK777" s="11"/>
    </row>
    <row r="778" spans="1:63" ht="12.75">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c r="BA778" s="11"/>
      <c r="BB778" s="11"/>
      <c r="BC778" s="11"/>
      <c r="BD778" s="11"/>
      <c r="BE778" s="11"/>
      <c r="BF778" s="11"/>
      <c r="BG778" s="11"/>
      <c r="BH778" s="11"/>
      <c r="BI778" s="11"/>
      <c r="BJ778" s="11"/>
      <c r="BK778" s="11"/>
    </row>
    <row r="779" spans="1:63" ht="12.75">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c r="BA779" s="11"/>
      <c r="BB779" s="11"/>
      <c r="BC779" s="11"/>
      <c r="BD779" s="11"/>
      <c r="BE779" s="11"/>
      <c r="BF779" s="11"/>
      <c r="BG779" s="11"/>
      <c r="BH779" s="11"/>
      <c r="BI779" s="11"/>
      <c r="BJ779" s="11"/>
      <c r="BK779" s="11"/>
    </row>
    <row r="780" spans="1:63" ht="12.75">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c r="BA780" s="11"/>
      <c r="BB780" s="11"/>
      <c r="BC780" s="11"/>
      <c r="BD780" s="11"/>
      <c r="BE780" s="11"/>
      <c r="BF780" s="11"/>
      <c r="BG780" s="11"/>
      <c r="BH780" s="11"/>
      <c r="BI780" s="11"/>
      <c r="BJ780" s="11"/>
      <c r="BK780" s="11"/>
    </row>
    <row r="781" spans="1:63" ht="12.75">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c r="BA781" s="11"/>
      <c r="BB781" s="11"/>
      <c r="BC781" s="11"/>
      <c r="BD781" s="11"/>
      <c r="BE781" s="11"/>
      <c r="BF781" s="11"/>
      <c r="BG781" s="11"/>
      <c r="BH781" s="11"/>
      <c r="BI781" s="11"/>
      <c r="BJ781" s="11"/>
      <c r="BK781" s="11"/>
    </row>
    <row r="782" spans="1:63" ht="12.75">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c r="BA782" s="11"/>
      <c r="BB782" s="11"/>
      <c r="BC782" s="11"/>
      <c r="BD782" s="11"/>
      <c r="BE782" s="11"/>
      <c r="BF782" s="11"/>
      <c r="BG782" s="11"/>
      <c r="BH782" s="11"/>
      <c r="BI782" s="11"/>
      <c r="BJ782" s="11"/>
      <c r="BK782" s="11"/>
    </row>
    <row r="783" spans="1:63" ht="12.75">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c r="BA783" s="11"/>
      <c r="BB783" s="11"/>
      <c r="BC783" s="11"/>
      <c r="BD783" s="11"/>
      <c r="BE783" s="11"/>
      <c r="BF783" s="11"/>
      <c r="BG783" s="11"/>
      <c r="BH783" s="11"/>
      <c r="BI783" s="11"/>
      <c r="BJ783" s="11"/>
      <c r="BK783" s="11"/>
    </row>
    <row r="784" spans="1:63" ht="12.75">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c r="BA784" s="11"/>
      <c r="BB784" s="11"/>
      <c r="BC784" s="11"/>
      <c r="BD784" s="11"/>
      <c r="BE784" s="11"/>
      <c r="BF784" s="11"/>
      <c r="BG784" s="11"/>
      <c r="BH784" s="11"/>
      <c r="BI784" s="11"/>
      <c r="BJ784" s="11"/>
      <c r="BK784" s="11"/>
    </row>
    <row r="785" spans="1:63" ht="12.7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c r="BA785" s="11"/>
      <c r="BB785" s="11"/>
      <c r="BC785" s="11"/>
      <c r="BD785" s="11"/>
      <c r="BE785" s="11"/>
      <c r="BF785" s="11"/>
      <c r="BG785" s="11"/>
      <c r="BH785" s="11"/>
      <c r="BI785" s="11"/>
      <c r="BJ785" s="11"/>
      <c r="BK785" s="11"/>
    </row>
    <row r="786" spans="1:63" ht="12.75">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c r="BA786" s="11"/>
      <c r="BB786" s="11"/>
      <c r="BC786" s="11"/>
      <c r="BD786" s="11"/>
      <c r="BE786" s="11"/>
      <c r="BF786" s="11"/>
      <c r="BG786" s="11"/>
      <c r="BH786" s="11"/>
      <c r="BI786" s="11"/>
      <c r="BJ786" s="11"/>
      <c r="BK786" s="11"/>
    </row>
    <row r="787" spans="1:63" ht="12.75">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c r="BA787" s="11"/>
      <c r="BB787" s="11"/>
      <c r="BC787" s="11"/>
      <c r="BD787" s="11"/>
      <c r="BE787" s="11"/>
      <c r="BF787" s="11"/>
      <c r="BG787" s="11"/>
      <c r="BH787" s="11"/>
      <c r="BI787" s="11"/>
      <c r="BJ787" s="11"/>
      <c r="BK787" s="11"/>
    </row>
    <row r="788" spans="1:63" ht="12.75">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c r="BA788" s="11"/>
      <c r="BB788" s="11"/>
      <c r="BC788" s="11"/>
      <c r="BD788" s="11"/>
      <c r="BE788" s="11"/>
      <c r="BF788" s="11"/>
      <c r="BG788" s="11"/>
      <c r="BH788" s="11"/>
      <c r="BI788" s="11"/>
      <c r="BJ788" s="11"/>
      <c r="BK788" s="11"/>
    </row>
    <row r="789" spans="1:63" ht="12.75">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c r="BA789" s="11"/>
      <c r="BB789" s="11"/>
      <c r="BC789" s="11"/>
      <c r="BD789" s="11"/>
      <c r="BE789" s="11"/>
      <c r="BF789" s="11"/>
      <c r="BG789" s="11"/>
      <c r="BH789" s="11"/>
      <c r="BI789" s="11"/>
      <c r="BJ789" s="11"/>
      <c r="BK789" s="11"/>
    </row>
    <row r="790" spans="1:63" ht="12.75">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c r="BA790" s="11"/>
      <c r="BB790" s="11"/>
      <c r="BC790" s="11"/>
      <c r="BD790" s="11"/>
      <c r="BE790" s="11"/>
      <c r="BF790" s="11"/>
      <c r="BG790" s="11"/>
      <c r="BH790" s="11"/>
      <c r="BI790" s="11"/>
      <c r="BJ790" s="11"/>
      <c r="BK790" s="11"/>
    </row>
    <row r="791" spans="1:63" ht="12.75">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c r="BA791" s="11"/>
      <c r="BB791" s="11"/>
      <c r="BC791" s="11"/>
      <c r="BD791" s="11"/>
      <c r="BE791" s="11"/>
      <c r="BF791" s="11"/>
      <c r="BG791" s="11"/>
      <c r="BH791" s="11"/>
      <c r="BI791" s="11"/>
      <c r="BJ791" s="11"/>
      <c r="BK791" s="11"/>
    </row>
    <row r="792" spans="1:63" ht="12.75">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c r="BA792" s="11"/>
      <c r="BB792" s="11"/>
      <c r="BC792" s="11"/>
      <c r="BD792" s="11"/>
      <c r="BE792" s="11"/>
      <c r="BF792" s="11"/>
      <c r="BG792" s="11"/>
      <c r="BH792" s="11"/>
      <c r="BI792" s="11"/>
      <c r="BJ792" s="11"/>
      <c r="BK792" s="11"/>
    </row>
    <row r="793" spans="1:63" ht="12.75">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c r="BA793" s="11"/>
      <c r="BB793" s="11"/>
      <c r="BC793" s="11"/>
      <c r="BD793" s="11"/>
      <c r="BE793" s="11"/>
      <c r="BF793" s="11"/>
      <c r="BG793" s="11"/>
      <c r="BH793" s="11"/>
      <c r="BI793" s="11"/>
      <c r="BJ793" s="11"/>
      <c r="BK793" s="11"/>
    </row>
    <row r="794" spans="1:63" ht="12.75">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c r="BA794" s="11"/>
      <c r="BB794" s="11"/>
      <c r="BC794" s="11"/>
      <c r="BD794" s="11"/>
      <c r="BE794" s="11"/>
      <c r="BF794" s="11"/>
      <c r="BG794" s="11"/>
      <c r="BH794" s="11"/>
      <c r="BI794" s="11"/>
      <c r="BJ794" s="11"/>
      <c r="BK794" s="11"/>
    </row>
    <row r="795" spans="1:63" ht="12.7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c r="BA795" s="11"/>
      <c r="BB795" s="11"/>
      <c r="BC795" s="11"/>
      <c r="BD795" s="11"/>
      <c r="BE795" s="11"/>
      <c r="BF795" s="11"/>
      <c r="BG795" s="11"/>
      <c r="BH795" s="11"/>
      <c r="BI795" s="11"/>
      <c r="BJ795" s="11"/>
      <c r="BK795" s="11"/>
    </row>
    <row r="796" spans="1:63" ht="12.75">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c r="BA796" s="11"/>
      <c r="BB796" s="11"/>
      <c r="BC796" s="11"/>
      <c r="BD796" s="11"/>
      <c r="BE796" s="11"/>
      <c r="BF796" s="11"/>
      <c r="BG796" s="11"/>
      <c r="BH796" s="11"/>
      <c r="BI796" s="11"/>
      <c r="BJ796" s="11"/>
      <c r="BK796" s="11"/>
    </row>
    <row r="797" spans="1:63" ht="12.75">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c r="BA797" s="11"/>
      <c r="BB797" s="11"/>
      <c r="BC797" s="11"/>
      <c r="BD797" s="11"/>
      <c r="BE797" s="11"/>
      <c r="BF797" s="11"/>
      <c r="BG797" s="11"/>
      <c r="BH797" s="11"/>
      <c r="BI797" s="11"/>
      <c r="BJ797" s="11"/>
      <c r="BK797" s="11"/>
    </row>
    <row r="798" spans="1:63" ht="12.75">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c r="BA798" s="11"/>
      <c r="BB798" s="11"/>
      <c r="BC798" s="11"/>
      <c r="BD798" s="11"/>
      <c r="BE798" s="11"/>
      <c r="BF798" s="11"/>
      <c r="BG798" s="11"/>
      <c r="BH798" s="11"/>
      <c r="BI798" s="11"/>
      <c r="BJ798" s="11"/>
      <c r="BK798" s="11"/>
    </row>
    <row r="799" spans="1:63" ht="12.75">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c r="BA799" s="11"/>
      <c r="BB799" s="11"/>
      <c r="BC799" s="11"/>
      <c r="BD799" s="11"/>
      <c r="BE799" s="11"/>
      <c r="BF799" s="11"/>
      <c r="BG799" s="11"/>
      <c r="BH799" s="11"/>
      <c r="BI799" s="11"/>
      <c r="BJ799" s="11"/>
      <c r="BK799" s="11"/>
    </row>
    <row r="800" spans="1:63" ht="12.75">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c r="BA800" s="11"/>
      <c r="BB800" s="11"/>
      <c r="BC800" s="11"/>
      <c r="BD800" s="11"/>
      <c r="BE800" s="11"/>
      <c r="BF800" s="11"/>
      <c r="BG800" s="11"/>
      <c r="BH800" s="11"/>
      <c r="BI800" s="11"/>
      <c r="BJ800" s="11"/>
      <c r="BK800" s="11"/>
    </row>
    <row r="801" spans="1:63" ht="12.75">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c r="BA801" s="11"/>
      <c r="BB801" s="11"/>
      <c r="BC801" s="11"/>
      <c r="BD801" s="11"/>
      <c r="BE801" s="11"/>
      <c r="BF801" s="11"/>
      <c r="BG801" s="11"/>
      <c r="BH801" s="11"/>
      <c r="BI801" s="11"/>
      <c r="BJ801" s="11"/>
      <c r="BK801" s="11"/>
    </row>
    <row r="802" spans="1:63" ht="12.75">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c r="BA802" s="11"/>
      <c r="BB802" s="11"/>
      <c r="BC802" s="11"/>
      <c r="BD802" s="11"/>
      <c r="BE802" s="11"/>
      <c r="BF802" s="11"/>
      <c r="BG802" s="11"/>
      <c r="BH802" s="11"/>
      <c r="BI802" s="11"/>
      <c r="BJ802" s="11"/>
      <c r="BK802" s="11"/>
    </row>
    <row r="803" spans="1:63" ht="12.75">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c r="BA803" s="11"/>
      <c r="BB803" s="11"/>
      <c r="BC803" s="11"/>
      <c r="BD803" s="11"/>
      <c r="BE803" s="11"/>
      <c r="BF803" s="11"/>
      <c r="BG803" s="11"/>
      <c r="BH803" s="11"/>
      <c r="BI803" s="11"/>
      <c r="BJ803" s="11"/>
      <c r="BK803" s="11"/>
    </row>
    <row r="804" spans="1:63" ht="12.75">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c r="BA804" s="11"/>
      <c r="BB804" s="11"/>
      <c r="BC804" s="11"/>
      <c r="BD804" s="11"/>
      <c r="BE804" s="11"/>
      <c r="BF804" s="11"/>
      <c r="BG804" s="11"/>
      <c r="BH804" s="11"/>
      <c r="BI804" s="11"/>
      <c r="BJ804" s="11"/>
      <c r="BK804" s="11"/>
    </row>
    <row r="805" spans="1:63" ht="12.7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c r="BA805" s="11"/>
      <c r="BB805" s="11"/>
      <c r="BC805" s="11"/>
      <c r="BD805" s="11"/>
      <c r="BE805" s="11"/>
      <c r="BF805" s="11"/>
      <c r="BG805" s="11"/>
      <c r="BH805" s="11"/>
      <c r="BI805" s="11"/>
      <c r="BJ805" s="11"/>
      <c r="BK805" s="11"/>
    </row>
    <row r="806" spans="1:63" ht="12.75">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c r="BA806" s="11"/>
      <c r="BB806" s="11"/>
      <c r="BC806" s="11"/>
      <c r="BD806" s="11"/>
      <c r="BE806" s="11"/>
      <c r="BF806" s="11"/>
      <c r="BG806" s="11"/>
      <c r="BH806" s="11"/>
      <c r="BI806" s="11"/>
      <c r="BJ806" s="11"/>
      <c r="BK806" s="11"/>
    </row>
    <row r="807" spans="1:63" ht="12.75">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c r="BA807" s="11"/>
      <c r="BB807" s="11"/>
      <c r="BC807" s="11"/>
      <c r="BD807" s="11"/>
      <c r="BE807" s="11"/>
      <c r="BF807" s="11"/>
      <c r="BG807" s="11"/>
      <c r="BH807" s="11"/>
      <c r="BI807" s="11"/>
      <c r="BJ807" s="11"/>
      <c r="BK807" s="11"/>
    </row>
    <row r="808" spans="1:63" ht="12.75">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c r="BA808" s="11"/>
      <c r="BB808" s="11"/>
      <c r="BC808" s="11"/>
      <c r="BD808" s="11"/>
      <c r="BE808" s="11"/>
      <c r="BF808" s="11"/>
      <c r="BG808" s="11"/>
      <c r="BH808" s="11"/>
      <c r="BI808" s="11"/>
      <c r="BJ808" s="11"/>
      <c r="BK808" s="11"/>
    </row>
    <row r="809" spans="1:63" ht="12.75">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c r="BA809" s="11"/>
      <c r="BB809" s="11"/>
      <c r="BC809" s="11"/>
      <c r="BD809" s="11"/>
      <c r="BE809" s="11"/>
      <c r="BF809" s="11"/>
      <c r="BG809" s="11"/>
      <c r="BH809" s="11"/>
      <c r="BI809" s="11"/>
      <c r="BJ809" s="11"/>
      <c r="BK809" s="11"/>
    </row>
    <row r="810" spans="1:63" ht="12.75">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c r="BA810" s="11"/>
      <c r="BB810" s="11"/>
      <c r="BC810" s="11"/>
      <c r="BD810" s="11"/>
      <c r="BE810" s="11"/>
      <c r="BF810" s="11"/>
      <c r="BG810" s="11"/>
      <c r="BH810" s="11"/>
      <c r="BI810" s="11"/>
      <c r="BJ810" s="11"/>
      <c r="BK810" s="11"/>
    </row>
    <row r="811" spans="1:63" ht="12.75">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c r="BA811" s="11"/>
      <c r="BB811" s="11"/>
      <c r="BC811" s="11"/>
      <c r="BD811" s="11"/>
      <c r="BE811" s="11"/>
      <c r="BF811" s="11"/>
      <c r="BG811" s="11"/>
      <c r="BH811" s="11"/>
      <c r="BI811" s="11"/>
      <c r="BJ811" s="11"/>
      <c r="BK811" s="11"/>
    </row>
    <row r="812" spans="1:63" ht="12.75">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c r="BA812" s="11"/>
      <c r="BB812" s="11"/>
      <c r="BC812" s="11"/>
      <c r="BD812" s="11"/>
      <c r="BE812" s="11"/>
      <c r="BF812" s="11"/>
      <c r="BG812" s="11"/>
      <c r="BH812" s="11"/>
      <c r="BI812" s="11"/>
      <c r="BJ812" s="11"/>
      <c r="BK812" s="11"/>
    </row>
    <row r="813" spans="1:63" ht="12.75">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c r="BA813" s="11"/>
      <c r="BB813" s="11"/>
      <c r="BC813" s="11"/>
      <c r="BD813" s="11"/>
      <c r="BE813" s="11"/>
      <c r="BF813" s="11"/>
      <c r="BG813" s="11"/>
      <c r="BH813" s="11"/>
      <c r="BI813" s="11"/>
      <c r="BJ813" s="11"/>
      <c r="BK813" s="11"/>
    </row>
    <row r="814" spans="1:63" ht="12.75">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c r="BA814" s="11"/>
      <c r="BB814" s="11"/>
      <c r="BC814" s="11"/>
      <c r="BD814" s="11"/>
      <c r="BE814" s="11"/>
      <c r="BF814" s="11"/>
      <c r="BG814" s="11"/>
      <c r="BH814" s="11"/>
      <c r="BI814" s="11"/>
      <c r="BJ814" s="11"/>
      <c r="BK814" s="11"/>
    </row>
    <row r="815" spans="1:63" ht="12.7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c r="BA815" s="11"/>
      <c r="BB815" s="11"/>
      <c r="BC815" s="11"/>
      <c r="BD815" s="11"/>
      <c r="BE815" s="11"/>
      <c r="BF815" s="11"/>
      <c r="BG815" s="11"/>
      <c r="BH815" s="11"/>
      <c r="BI815" s="11"/>
      <c r="BJ815" s="11"/>
      <c r="BK815" s="11"/>
    </row>
    <row r="816" spans="1:63" ht="12.75">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c r="BA816" s="11"/>
      <c r="BB816" s="11"/>
      <c r="BC816" s="11"/>
      <c r="BD816" s="11"/>
      <c r="BE816" s="11"/>
      <c r="BF816" s="11"/>
      <c r="BG816" s="11"/>
      <c r="BH816" s="11"/>
      <c r="BI816" s="11"/>
      <c r="BJ816" s="11"/>
      <c r="BK816" s="11"/>
    </row>
    <row r="817" spans="1:63" ht="12.75">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c r="BA817" s="11"/>
      <c r="BB817" s="11"/>
      <c r="BC817" s="11"/>
      <c r="BD817" s="11"/>
      <c r="BE817" s="11"/>
      <c r="BF817" s="11"/>
      <c r="BG817" s="11"/>
      <c r="BH817" s="11"/>
      <c r="BI817" s="11"/>
      <c r="BJ817" s="11"/>
      <c r="BK817" s="11"/>
    </row>
    <row r="818" spans="1:63" ht="12.75">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c r="BA818" s="11"/>
      <c r="BB818" s="11"/>
      <c r="BC818" s="11"/>
      <c r="BD818" s="11"/>
      <c r="BE818" s="11"/>
      <c r="BF818" s="11"/>
      <c r="BG818" s="11"/>
      <c r="BH818" s="11"/>
      <c r="BI818" s="11"/>
      <c r="BJ818" s="11"/>
      <c r="BK818" s="11"/>
    </row>
    <row r="819" spans="1:63" ht="12.75">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c r="BA819" s="11"/>
      <c r="BB819" s="11"/>
      <c r="BC819" s="11"/>
      <c r="BD819" s="11"/>
      <c r="BE819" s="11"/>
      <c r="BF819" s="11"/>
      <c r="BG819" s="11"/>
      <c r="BH819" s="11"/>
      <c r="BI819" s="11"/>
      <c r="BJ819" s="11"/>
      <c r="BK819" s="11"/>
    </row>
    <row r="820" spans="1:63" ht="12.75">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c r="BA820" s="11"/>
      <c r="BB820" s="11"/>
      <c r="BC820" s="11"/>
      <c r="BD820" s="11"/>
      <c r="BE820" s="11"/>
      <c r="BF820" s="11"/>
      <c r="BG820" s="11"/>
      <c r="BH820" s="11"/>
      <c r="BI820" s="11"/>
      <c r="BJ820" s="11"/>
      <c r="BK820" s="11"/>
    </row>
    <row r="821" spans="1:63" ht="12.75">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c r="BA821" s="11"/>
      <c r="BB821" s="11"/>
      <c r="BC821" s="11"/>
      <c r="BD821" s="11"/>
      <c r="BE821" s="11"/>
      <c r="BF821" s="11"/>
      <c r="BG821" s="11"/>
      <c r="BH821" s="11"/>
      <c r="BI821" s="11"/>
      <c r="BJ821" s="11"/>
      <c r="BK821" s="11"/>
    </row>
    <row r="822" spans="1:63" ht="12.75">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c r="BA822" s="11"/>
      <c r="BB822" s="11"/>
      <c r="BC822" s="11"/>
      <c r="BD822" s="11"/>
      <c r="BE822" s="11"/>
      <c r="BF822" s="11"/>
      <c r="BG822" s="11"/>
      <c r="BH822" s="11"/>
      <c r="BI822" s="11"/>
      <c r="BJ822" s="11"/>
      <c r="BK822" s="11"/>
    </row>
    <row r="823" spans="1:63" ht="12.75">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c r="BA823" s="11"/>
      <c r="BB823" s="11"/>
      <c r="BC823" s="11"/>
      <c r="BD823" s="11"/>
      <c r="BE823" s="11"/>
      <c r="BF823" s="11"/>
      <c r="BG823" s="11"/>
      <c r="BH823" s="11"/>
      <c r="BI823" s="11"/>
      <c r="BJ823" s="11"/>
      <c r="BK823" s="11"/>
    </row>
    <row r="824" spans="1:63" ht="12.75">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c r="BA824" s="11"/>
      <c r="BB824" s="11"/>
      <c r="BC824" s="11"/>
      <c r="BD824" s="11"/>
      <c r="BE824" s="11"/>
      <c r="BF824" s="11"/>
      <c r="BG824" s="11"/>
      <c r="BH824" s="11"/>
      <c r="BI824" s="11"/>
      <c r="BJ824" s="11"/>
      <c r="BK824" s="11"/>
    </row>
    <row r="825" spans="1:63" ht="12.7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c r="BA825" s="11"/>
      <c r="BB825" s="11"/>
      <c r="BC825" s="11"/>
      <c r="BD825" s="11"/>
      <c r="BE825" s="11"/>
      <c r="BF825" s="11"/>
      <c r="BG825" s="11"/>
      <c r="BH825" s="11"/>
      <c r="BI825" s="11"/>
      <c r="BJ825" s="11"/>
      <c r="BK825" s="11"/>
    </row>
    <row r="826" spans="1:63" ht="12.75">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c r="BA826" s="11"/>
      <c r="BB826" s="11"/>
      <c r="BC826" s="11"/>
      <c r="BD826" s="11"/>
      <c r="BE826" s="11"/>
      <c r="BF826" s="11"/>
      <c r="BG826" s="11"/>
      <c r="BH826" s="11"/>
      <c r="BI826" s="11"/>
      <c r="BJ826" s="11"/>
      <c r="BK826" s="11"/>
    </row>
    <row r="827" spans="1:63" ht="12.75">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c r="BA827" s="11"/>
      <c r="BB827" s="11"/>
      <c r="BC827" s="11"/>
      <c r="BD827" s="11"/>
      <c r="BE827" s="11"/>
      <c r="BF827" s="11"/>
      <c r="BG827" s="11"/>
      <c r="BH827" s="11"/>
      <c r="BI827" s="11"/>
      <c r="BJ827" s="11"/>
      <c r="BK827" s="11"/>
    </row>
    <row r="828" spans="1:63" ht="12.75">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c r="BA828" s="11"/>
      <c r="BB828" s="11"/>
      <c r="BC828" s="11"/>
      <c r="BD828" s="11"/>
      <c r="BE828" s="11"/>
      <c r="BF828" s="11"/>
      <c r="BG828" s="11"/>
      <c r="BH828" s="11"/>
      <c r="BI828" s="11"/>
      <c r="BJ828" s="11"/>
      <c r="BK828" s="11"/>
    </row>
    <row r="829" spans="1:63" ht="12.75">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c r="BA829" s="11"/>
      <c r="BB829" s="11"/>
      <c r="BC829" s="11"/>
      <c r="BD829" s="11"/>
      <c r="BE829" s="11"/>
      <c r="BF829" s="11"/>
      <c r="BG829" s="11"/>
      <c r="BH829" s="11"/>
      <c r="BI829" s="11"/>
      <c r="BJ829" s="11"/>
      <c r="BK829" s="11"/>
    </row>
    <row r="830" spans="1:63" ht="12.75">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c r="BA830" s="11"/>
      <c r="BB830" s="11"/>
      <c r="BC830" s="11"/>
      <c r="BD830" s="11"/>
      <c r="BE830" s="11"/>
      <c r="BF830" s="11"/>
      <c r="BG830" s="11"/>
      <c r="BH830" s="11"/>
      <c r="BI830" s="11"/>
      <c r="BJ830" s="11"/>
      <c r="BK830" s="11"/>
    </row>
    <row r="831" spans="1:63" ht="12.75">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c r="BA831" s="11"/>
      <c r="BB831" s="11"/>
      <c r="BC831" s="11"/>
      <c r="BD831" s="11"/>
      <c r="BE831" s="11"/>
      <c r="BF831" s="11"/>
      <c r="BG831" s="11"/>
      <c r="BH831" s="11"/>
      <c r="BI831" s="11"/>
      <c r="BJ831" s="11"/>
      <c r="BK831" s="11"/>
    </row>
    <row r="832" spans="1:63" ht="12.75">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c r="BA832" s="11"/>
      <c r="BB832" s="11"/>
      <c r="BC832" s="11"/>
      <c r="BD832" s="11"/>
      <c r="BE832" s="11"/>
      <c r="BF832" s="11"/>
      <c r="BG832" s="11"/>
      <c r="BH832" s="11"/>
      <c r="BI832" s="11"/>
      <c r="BJ832" s="11"/>
      <c r="BK832" s="11"/>
    </row>
    <row r="833" spans="1:63" ht="12.75">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c r="BA833" s="11"/>
      <c r="BB833" s="11"/>
      <c r="BC833" s="11"/>
      <c r="BD833" s="11"/>
      <c r="BE833" s="11"/>
      <c r="BF833" s="11"/>
      <c r="BG833" s="11"/>
      <c r="BH833" s="11"/>
      <c r="BI833" s="11"/>
      <c r="BJ833" s="11"/>
      <c r="BK833" s="11"/>
    </row>
    <row r="834" spans="1:63" ht="12.75">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c r="BA834" s="11"/>
      <c r="BB834" s="11"/>
      <c r="BC834" s="11"/>
      <c r="BD834" s="11"/>
      <c r="BE834" s="11"/>
      <c r="BF834" s="11"/>
      <c r="BG834" s="11"/>
      <c r="BH834" s="11"/>
      <c r="BI834" s="11"/>
      <c r="BJ834" s="11"/>
      <c r="BK834" s="11"/>
    </row>
    <row r="835" spans="1:63" ht="12.7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c r="BA835" s="11"/>
      <c r="BB835" s="11"/>
      <c r="BC835" s="11"/>
      <c r="BD835" s="11"/>
      <c r="BE835" s="11"/>
      <c r="BF835" s="11"/>
      <c r="BG835" s="11"/>
      <c r="BH835" s="11"/>
      <c r="BI835" s="11"/>
      <c r="BJ835" s="11"/>
      <c r="BK835" s="11"/>
    </row>
    <row r="836" spans="1:63" ht="12.75">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c r="BA836" s="11"/>
      <c r="BB836" s="11"/>
      <c r="BC836" s="11"/>
      <c r="BD836" s="11"/>
      <c r="BE836" s="11"/>
      <c r="BF836" s="11"/>
      <c r="BG836" s="11"/>
      <c r="BH836" s="11"/>
      <c r="BI836" s="11"/>
      <c r="BJ836" s="11"/>
      <c r="BK836" s="11"/>
    </row>
    <row r="837" spans="1:63" ht="12.75">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c r="BA837" s="11"/>
      <c r="BB837" s="11"/>
      <c r="BC837" s="11"/>
      <c r="BD837" s="11"/>
      <c r="BE837" s="11"/>
      <c r="BF837" s="11"/>
      <c r="BG837" s="11"/>
      <c r="BH837" s="11"/>
      <c r="BI837" s="11"/>
      <c r="BJ837" s="11"/>
      <c r="BK837" s="11"/>
    </row>
    <row r="838" spans="1:63" ht="12.75">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c r="BA838" s="11"/>
      <c r="BB838" s="11"/>
      <c r="BC838" s="11"/>
      <c r="BD838" s="11"/>
      <c r="BE838" s="11"/>
      <c r="BF838" s="11"/>
      <c r="BG838" s="11"/>
      <c r="BH838" s="11"/>
      <c r="BI838" s="11"/>
      <c r="BJ838" s="11"/>
      <c r="BK838" s="11"/>
    </row>
    <row r="839" spans="1:63" ht="12.75">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c r="BA839" s="11"/>
      <c r="BB839" s="11"/>
      <c r="BC839" s="11"/>
      <c r="BD839" s="11"/>
      <c r="BE839" s="11"/>
      <c r="BF839" s="11"/>
      <c r="BG839" s="11"/>
      <c r="BH839" s="11"/>
      <c r="BI839" s="11"/>
      <c r="BJ839" s="11"/>
      <c r="BK839" s="11"/>
    </row>
    <row r="840" spans="1:63" ht="12.75">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c r="BA840" s="11"/>
      <c r="BB840" s="11"/>
      <c r="BC840" s="11"/>
      <c r="BD840" s="11"/>
      <c r="BE840" s="11"/>
      <c r="BF840" s="11"/>
      <c r="BG840" s="11"/>
      <c r="BH840" s="11"/>
      <c r="BI840" s="11"/>
      <c r="BJ840" s="11"/>
      <c r="BK840" s="11"/>
    </row>
    <row r="841" spans="1:63" ht="12.75">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c r="BA841" s="11"/>
      <c r="BB841" s="11"/>
      <c r="BC841" s="11"/>
      <c r="BD841" s="11"/>
      <c r="BE841" s="11"/>
      <c r="BF841" s="11"/>
      <c r="BG841" s="11"/>
      <c r="BH841" s="11"/>
      <c r="BI841" s="11"/>
      <c r="BJ841" s="11"/>
      <c r="BK841" s="11"/>
    </row>
    <row r="842" spans="1:63" ht="12.75">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c r="BA842" s="11"/>
      <c r="BB842" s="11"/>
      <c r="BC842" s="11"/>
      <c r="BD842" s="11"/>
      <c r="BE842" s="11"/>
      <c r="BF842" s="11"/>
      <c r="BG842" s="11"/>
      <c r="BH842" s="11"/>
      <c r="BI842" s="11"/>
      <c r="BJ842" s="11"/>
      <c r="BK842" s="11"/>
    </row>
    <row r="843" spans="1:63" ht="12.75">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c r="BA843" s="11"/>
      <c r="BB843" s="11"/>
      <c r="BC843" s="11"/>
      <c r="BD843" s="11"/>
      <c r="BE843" s="11"/>
      <c r="BF843" s="11"/>
      <c r="BG843" s="11"/>
      <c r="BH843" s="11"/>
      <c r="BI843" s="11"/>
      <c r="BJ843" s="11"/>
      <c r="BK843" s="11"/>
    </row>
    <row r="844" spans="1:63" ht="12.75">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c r="BA844" s="11"/>
      <c r="BB844" s="11"/>
      <c r="BC844" s="11"/>
      <c r="BD844" s="11"/>
      <c r="BE844" s="11"/>
      <c r="BF844" s="11"/>
      <c r="BG844" s="11"/>
      <c r="BH844" s="11"/>
      <c r="BI844" s="11"/>
      <c r="BJ844" s="11"/>
      <c r="BK844" s="11"/>
    </row>
    <row r="845" spans="1:63" ht="12.7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c r="BA845" s="11"/>
      <c r="BB845" s="11"/>
      <c r="BC845" s="11"/>
      <c r="BD845" s="11"/>
      <c r="BE845" s="11"/>
      <c r="BF845" s="11"/>
      <c r="BG845" s="11"/>
      <c r="BH845" s="11"/>
      <c r="BI845" s="11"/>
      <c r="BJ845" s="11"/>
      <c r="BK845" s="11"/>
    </row>
    <row r="846" spans="1:63" ht="12.75">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c r="BA846" s="11"/>
      <c r="BB846" s="11"/>
      <c r="BC846" s="11"/>
      <c r="BD846" s="11"/>
      <c r="BE846" s="11"/>
      <c r="BF846" s="11"/>
      <c r="BG846" s="11"/>
      <c r="BH846" s="11"/>
      <c r="BI846" s="11"/>
      <c r="BJ846" s="11"/>
      <c r="BK846" s="11"/>
    </row>
    <row r="847" spans="1:63" ht="12.75">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c r="BA847" s="11"/>
      <c r="BB847" s="11"/>
      <c r="BC847" s="11"/>
      <c r="BD847" s="11"/>
      <c r="BE847" s="11"/>
      <c r="BF847" s="11"/>
      <c r="BG847" s="11"/>
      <c r="BH847" s="11"/>
      <c r="BI847" s="11"/>
      <c r="BJ847" s="11"/>
      <c r="BK847" s="11"/>
    </row>
    <row r="848" spans="1:63" ht="12.75">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c r="BA848" s="11"/>
      <c r="BB848" s="11"/>
      <c r="BC848" s="11"/>
      <c r="BD848" s="11"/>
      <c r="BE848" s="11"/>
      <c r="BF848" s="11"/>
      <c r="BG848" s="11"/>
      <c r="BH848" s="11"/>
      <c r="BI848" s="11"/>
      <c r="BJ848" s="11"/>
      <c r="BK848" s="11"/>
    </row>
    <row r="849" spans="1:63" ht="12.75">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c r="BA849" s="11"/>
      <c r="BB849" s="11"/>
      <c r="BC849" s="11"/>
      <c r="BD849" s="11"/>
      <c r="BE849" s="11"/>
      <c r="BF849" s="11"/>
      <c r="BG849" s="11"/>
      <c r="BH849" s="11"/>
      <c r="BI849" s="11"/>
      <c r="BJ849" s="11"/>
      <c r="BK849" s="11"/>
    </row>
    <row r="850" spans="1:63" ht="12.75">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c r="BA850" s="11"/>
      <c r="BB850" s="11"/>
      <c r="BC850" s="11"/>
      <c r="BD850" s="11"/>
      <c r="BE850" s="11"/>
      <c r="BF850" s="11"/>
      <c r="BG850" s="11"/>
      <c r="BH850" s="11"/>
      <c r="BI850" s="11"/>
      <c r="BJ850" s="11"/>
      <c r="BK850" s="11"/>
    </row>
    <row r="851" spans="1:63" ht="12.75">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c r="BA851" s="11"/>
      <c r="BB851" s="11"/>
      <c r="BC851" s="11"/>
      <c r="BD851" s="11"/>
      <c r="BE851" s="11"/>
      <c r="BF851" s="11"/>
      <c r="BG851" s="11"/>
      <c r="BH851" s="11"/>
      <c r="BI851" s="11"/>
      <c r="BJ851" s="11"/>
      <c r="BK851" s="11"/>
    </row>
    <row r="852" spans="1:63" ht="12.75">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c r="BA852" s="11"/>
      <c r="BB852" s="11"/>
      <c r="BC852" s="11"/>
      <c r="BD852" s="11"/>
      <c r="BE852" s="11"/>
      <c r="BF852" s="11"/>
      <c r="BG852" s="11"/>
      <c r="BH852" s="11"/>
      <c r="BI852" s="11"/>
      <c r="BJ852" s="11"/>
      <c r="BK852" s="11"/>
    </row>
    <row r="853" spans="1:63" ht="12.75">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c r="BA853" s="11"/>
      <c r="BB853" s="11"/>
      <c r="BC853" s="11"/>
      <c r="BD853" s="11"/>
      <c r="BE853" s="11"/>
      <c r="BF853" s="11"/>
      <c r="BG853" s="11"/>
      <c r="BH853" s="11"/>
      <c r="BI853" s="11"/>
      <c r="BJ853" s="11"/>
      <c r="BK853" s="11"/>
    </row>
    <row r="854" spans="1:63" ht="12.75">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c r="BA854" s="11"/>
      <c r="BB854" s="11"/>
      <c r="BC854" s="11"/>
      <c r="BD854" s="11"/>
      <c r="BE854" s="11"/>
      <c r="BF854" s="11"/>
      <c r="BG854" s="11"/>
      <c r="BH854" s="11"/>
      <c r="BI854" s="11"/>
      <c r="BJ854" s="11"/>
      <c r="BK854" s="11"/>
    </row>
    <row r="855" spans="1:63" ht="12.7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c r="BA855" s="11"/>
      <c r="BB855" s="11"/>
      <c r="BC855" s="11"/>
      <c r="BD855" s="11"/>
      <c r="BE855" s="11"/>
      <c r="BF855" s="11"/>
      <c r="BG855" s="11"/>
      <c r="BH855" s="11"/>
      <c r="BI855" s="11"/>
      <c r="BJ855" s="11"/>
      <c r="BK855" s="11"/>
    </row>
    <row r="856" spans="1:63" ht="12.75">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c r="BA856" s="11"/>
      <c r="BB856" s="11"/>
      <c r="BC856" s="11"/>
      <c r="BD856" s="11"/>
      <c r="BE856" s="11"/>
      <c r="BF856" s="11"/>
      <c r="BG856" s="11"/>
      <c r="BH856" s="11"/>
      <c r="BI856" s="11"/>
      <c r="BJ856" s="11"/>
      <c r="BK856" s="11"/>
    </row>
    <row r="857" spans="1:63" ht="12.75">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c r="BA857" s="11"/>
      <c r="BB857" s="11"/>
      <c r="BC857" s="11"/>
      <c r="BD857" s="11"/>
      <c r="BE857" s="11"/>
      <c r="BF857" s="11"/>
      <c r="BG857" s="11"/>
      <c r="BH857" s="11"/>
      <c r="BI857" s="11"/>
      <c r="BJ857" s="11"/>
      <c r="BK857" s="11"/>
    </row>
    <row r="858" spans="1:63" ht="12.75">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c r="BA858" s="11"/>
      <c r="BB858" s="11"/>
      <c r="BC858" s="11"/>
      <c r="BD858" s="11"/>
      <c r="BE858" s="11"/>
      <c r="BF858" s="11"/>
      <c r="BG858" s="11"/>
      <c r="BH858" s="11"/>
      <c r="BI858" s="11"/>
      <c r="BJ858" s="11"/>
      <c r="BK858" s="11"/>
    </row>
    <row r="859" spans="1:63" ht="12.75">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c r="BA859" s="11"/>
      <c r="BB859" s="11"/>
      <c r="BC859" s="11"/>
      <c r="BD859" s="11"/>
      <c r="BE859" s="11"/>
      <c r="BF859" s="11"/>
      <c r="BG859" s="11"/>
      <c r="BH859" s="11"/>
      <c r="BI859" s="11"/>
      <c r="BJ859" s="11"/>
      <c r="BK859" s="11"/>
    </row>
    <row r="860" spans="1:63" ht="12.75">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c r="BA860" s="11"/>
      <c r="BB860" s="11"/>
      <c r="BC860" s="11"/>
      <c r="BD860" s="11"/>
      <c r="BE860" s="11"/>
      <c r="BF860" s="11"/>
      <c r="BG860" s="11"/>
      <c r="BH860" s="11"/>
      <c r="BI860" s="11"/>
      <c r="BJ860" s="11"/>
      <c r="BK860" s="11"/>
    </row>
    <row r="861" spans="1:63" ht="12.75">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c r="BA861" s="11"/>
      <c r="BB861" s="11"/>
      <c r="BC861" s="11"/>
      <c r="BD861" s="11"/>
      <c r="BE861" s="11"/>
      <c r="BF861" s="11"/>
      <c r="BG861" s="11"/>
      <c r="BH861" s="11"/>
      <c r="BI861" s="11"/>
      <c r="BJ861" s="11"/>
      <c r="BK861" s="11"/>
    </row>
    <row r="862" spans="1:63" ht="12.75">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c r="BA862" s="11"/>
      <c r="BB862" s="11"/>
      <c r="BC862" s="11"/>
      <c r="BD862" s="11"/>
      <c r="BE862" s="11"/>
      <c r="BF862" s="11"/>
      <c r="BG862" s="11"/>
      <c r="BH862" s="11"/>
      <c r="BI862" s="11"/>
      <c r="BJ862" s="11"/>
      <c r="BK862" s="11"/>
    </row>
    <row r="863" spans="1:63" ht="12.75">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c r="BA863" s="11"/>
      <c r="BB863" s="11"/>
      <c r="BC863" s="11"/>
      <c r="BD863" s="11"/>
      <c r="BE863" s="11"/>
      <c r="BF863" s="11"/>
      <c r="BG863" s="11"/>
      <c r="BH863" s="11"/>
      <c r="BI863" s="11"/>
      <c r="BJ863" s="11"/>
      <c r="BK863" s="11"/>
    </row>
    <row r="864" spans="1:63" ht="12.75">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c r="BA864" s="11"/>
      <c r="BB864" s="11"/>
      <c r="BC864" s="11"/>
      <c r="BD864" s="11"/>
      <c r="BE864" s="11"/>
      <c r="BF864" s="11"/>
      <c r="BG864" s="11"/>
      <c r="BH864" s="11"/>
      <c r="BI864" s="11"/>
      <c r="BJ864" s="11"/>
      <c r="BK864" s="11"/>
    </row>
    <row r="865" spans="1:63" ht="12.7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c r="BA865" s="11"/>
      <c r="BB865" s="11"/>
      <c r="BC865" s="11"/>
      <c r="BD865" s="11"/>
      <c r="BE865" s="11"/>
      <c r="BF865" s="11"/>
      <c r="BG865" s="11"/>
      <c r="BH865" s="11"/>
      <c r="BI865" s="11"/>
      <c r="BJ865" s="11"/>
      <c r="BK865" s="11"/>
    </row>
    <row r="866" spans="1:63" ht="12.75">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c r="BA866" s="11"/>
      <c r="BB866" s="11"/>
      <c r="BC866" s="11"/>
      <c r="BD866" s="11"/>
      <c r="BE866" s="11"/>
      <c r="BF866" s="11"/>
      <c r="BG866" s="11"/>
      <c r="BH866" s="11"/>
      <c r="BI866" s="11"/>
      <c r="BJ866" s="11"/>
      <c r="BK866" s="11"/>
    </row>
    <row r="867" spans="1:63" ht="12.75">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c r="BA867" s="11"/>
      <c r="BB867" s="11"/>
      <c r="BC867" s="11"/>
      <c r="BD867" s="11"/>
      <c r="BE867" s="11"/>
      <c r="BF867" s="11"/>
      <c r="BG867" s="11"/>
      <c r="BH867" s="11"/>
      <c r="BI867" s="11"/>
      <c r="BJ867" s="11"/>
      <c r="BK867" s="11"/>
    </row>
    <row r="868" spans="1:63" ht="12.75">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c r="BA868" s="11"/>
      <c r="BB868" s="11"/>
      <c r="BC868" s="11"/>
      <c r="BD868" s="11"/>
      <c r="BE868" s="11"/>
      <c r="BF868" s="11"/>
      <c r="BG868" s="11"/>
      <c r="BH868" s="11"/>
      <c r="BI868" s="11"/>
      <c r="BJ868" s="11"/>
      <c r="BK868" s="11"/>
    </row>
    <row r="869" spans="1:63" ht="12.75">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c r="BA869" s="11"/>
      <c r="BB869" s="11"/>
      <c r="BC869" s="11"/>
      <c r="BD869" s="11"/>
      <c r="BE869" s="11"/>
      <c r="BF869" s="11"/>
      <c r="BG869" s="11"/>
      <c r="BH869" s="11"/>
      <c r="BI869" s="11"/>
      <c r="BJ869" s="11"/>
      <c r="BK869" s="11"/>
    </row>
    <row r="870" spans="1:63" ht="12.75">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c r="BA870" s="11"/>
      <c r="BB870" s="11"/>
      <c r="BC870" s="11"/>
      <c r="BD870" s="11"/>
      <c r="BE870" s="11"/>
      <c r="BF870" s="11"/>
      <c r="BG870" s="11"/>
      <c r="BH870" s="11"/>
      <c r="BI870" s="11"/>
      <c r="BJ870" s="11"/>
      <c r="BK870" s="11"/>
    </row>
    <row r="871" spans="1:63" ht="12.75">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c r="BA871" s="11"/>
      <c r="BB871" s="11"/>
      <c r="BC871" s="11"/>
      <c r="BD871" s="11"/>
      <c r="BE871" s="11"/>
      <c r="BF871" s="11"/>
      <c r="BG871" s="11"/>
      <c r="BH871" s="11"/>
      <c r="BI871" s="11"/>
      <c r="BJ871" s="11"/>
      <c r="BK871" s="11"/>
    </row>
    <row r="872" spans="1:63" ht="12.75">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c r="BA872" s="11"/>
      <c r="BB872" s="11"/>
      <c r="BC872" s="11"/>
      <c r="BD872" s="11"/>
      <c r="BE872" s="11"/>
      <c r="BF872" s="11"/>
      <c r="BG872" s="11"/>
      <c r="BH872" s="11"/>
      <c r="BI872" s="11"/>
      <c r="BJ872" s="11"/>
      <c r="BK872" s="11"/>
    </row>
    <row r="873" spans="1:63" ht="12.75">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c r="BA873" s="11"/>
      <c r="BB873" s="11"/>
      <c r="BC873" s="11"/>
      <c r="BD873" s="11"/>
      <c r="BE873" s="11"/>
      <c r="BF873" s="11"/>
      <c r="BG873" s="11"/>
      <c r="BH873" s="11"/>
      <c r="BI873" s="11"/>
      <c r="BJ873" s="11"/>
      <c r="BK873" s="11"/>
    </row>
    <row r="874" spans="1:63" ht="12.75">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c r="BA874" s="11"/>
      <c r="BB874" s="11"/>
      <c r="BC874" s="11"/>
      <c r="BD874" s="11"/>
      <c r="BE874" s="11"/>
      <c r="BF874" s="11"/>
      <c r="BG874" s="11"/>
      <c r="BH874" s="11"/>
      <c r="BI874" s="11"/>
      <c r="BJ874" s="11"/>
      <c r="BK874" s="11"/>
    </row>
    <row r="875" spans="1:63" ht="12.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c r="BA875" s="11"/>
      <c r="BB875" s="11"/>
      <c r="BC875" s="11"/>
      <c r="BD875" s="11"/>
      <c r="BE875" s="11"/>
      <c r="BF875" s="11"/>
      <c r="BG875" s="11"/>
      <c r="BH875" s="11"/>
      <c r="BI875" s="11"/>
      <c r="BJ875" s="11"/>
      <c r="BK875" s="11"/>
    </row>
    <row r="876" spans="1:63" ht="12.75">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c r="BA876" s="11"/>
      <c r="BB876" s="11"/>
      <c r="BC876" s="11"/>
      <c r="BD876" s="11"/>
      <c r="BE876" s="11"/>
      <c r="BF876" s="11"/>
      <c r="BG876" s="11"/>
      <c r="BH876" s="11"/>
      <c r="BI876" s="11"/>
      <c r="BJ876" s="11"/>
      <c r="BK876" s="11"/>
    </row>
    <row r="877" spans="1:63" ht="12.75">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c r="BA877" s="11"/>
      <c r="BB877" s="11"/>
      <c r="BC877" s="11"/>
      <c r="BD877" s="11"/>
      <c r="BE877" s="11"/>
      <c r="BF877" s="11"/>
      <c r="BG877" s="11"/>
      <c r="BH877" s="11"/>
      <c r="BI877" s="11"/>
      <c r="BJ877" s="11"/>
      <c r="BK877" s="11"/>
    </row>
    <row r="878" spans="1:63" ht="12.75">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c r="BA878" s="11"/>
      <c r="BB878" s="11"/>
      <c r="BC878" s="11"/>
      <c r="BD878" s="11"/>
      <c r="BE878" s="11"/>
      <c r="BF878" s="11"/>
      <c r="BG878" s="11"/>
      <c r="BH878" s="11"/>
      <c r="BI878" s="11"/>
      <c r="BJ878" s="11"/>
      <c r="BK878" s="11"/>
    </row>
    <row r="879" spans="1:63" ht="12.75">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c r="BA879" s="11"/>
      <c r="BB879" s="11"/>
      <c r="BC879" s="11"/>
      <c r="BD879" s="11"/>
      <c r="BE879" s="11"/>
      <c r="BF879" s="11"/>
      <c r="BG879" s="11"/>
      <c r="BH879" s="11"/>
      <c r="BI879" s="11"/>
      <c r="BJ879" s="11"/>
      <c r="BK879" s="11"/>
    </row>
    <row r="880" spans="1:63" ht="12.75">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c r="BA880" s="11"/>
      <c r="BB880" s="11"/>
      <c r="BC880" s="11"/>
      <c r="BD880" s="11"/>
      <c r="BE880" s="11"/>
      <c r="BF880" s="11"/>
      <c r="BG880" s="11"/>
      <c r="BH880" s="11"/>
      <c r="BI880" s="11"/>
      <c r="BJ880" s="11"/>
      <c r="BK880" s="11"/>
    </row>
    <row r="881" spans="1:63" ht="12.75">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c r="BA881" s="11"/>
      <c r="BB881" s="11"/>
      <c r="BC881" s="11"/>
      <c r="BD881" s="11"/>
      <c r="BE881" s="11"/>
      <c r="BF881" s="11"/>
      <c r="BG881" s="11"/>
      <c r="BH881" s="11"/>
      <c r="BI881" s="11"/>
      <c r="BJ881" s="11"/>
      <c r="BK881" s="11"/>
    </row>
    <row r="882" spans="1:63" ht="12.75">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c r="BA882" s="11"/>
      <c r="BB882" s="11"/>
      <c r="BC882" s="11"/>
      <c r="BD882" s="11"/>
      <c r="BE882" s="11"/>
      <c r="BF882" s="11"/>
      <c r="BG882" s="11"/>
      <c r="BH882" s="11"/>
      <c r="BI882" s="11"/>
      <c r="BJ882" s="11"/>
      <c r="BK882" s="11"/>
    </row>
    <row r="883" spans="1:63" ht="12.75">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c r="BA883" s="11"/>
      <c r="BB883" s="11"/>
      <c r="BC883" s="11"/>
      <c r="BD883" s="11"/>
      <c r="BE883" s="11"/>
      <c r="BF883" s="11"/>
      <c r="BG883" s="11"/>
      <c r="BH883" s="11"/>
      <c r="BI883" s="11"/>
      <c r="BJ883" s="11"/>
      <c r="BK883" s="11"/>
    </row>
    <row r="884" spans="1:63" ht="12.75">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c r="BA884" s="11"/>
      <c r="BB884" s="11"/>
      <c r="BC884" s="11"/>
      <c r="BD884" s="11"/>
      <c r="BE884" s="11"/>
      <c r="BF884" s="11"/>
      <c r="BG884" s="11"/>
      <c r="BH884" s="11"/>
      <c r="BI884" s="11"/>
      <c r="BJ884" s="11"/>
      <c r="BK884" s="11"/>
    </row>
    <row r="885" spans="1:63" ht="12.7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c r="BA885" s="11"/>
      <c r="BB885" s="11"/>
      <c r="BC885" s="11"/>
      <c r="BD885" s="11"/>
      <c r="BE885" s="11"/>
      <c r="BF885" s="11"/>
      <c r="BG885" s="11"/>
      <c r="BH885" s="11"/>
      <c r="BI885" s="11"/>
      <c r="BJ885" s="11"/>
      <c r="BK885" s="11"/>
    </row>
    <row r="886" spans="1:63" ht="12.75">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c r="BA886" s="11"/>
      <c r="BB886" s="11"/>
      <c r="BC886" s="11"/>
      <c r="BD886" s="11"/>
      <c r="BE886" s="11"/>
      <c r="BF886" s="11"/>
      <c r="BG886" s="11"/>
      <c r="BH886" s="11"/>
      <c r="BI886" s="11"/>
      <c r="BJ886" s="11"/>
      <c r="BK886" s="11"/>
    </row>
    <row r="887" spans="1:63" ht="12.75">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c r="BA887" s="11"/>
      <c r="BB887" s="11"/>
      <c r="BC887" s="11"/>
      <c r="BD887" s="11"/>
      <c r="BE887" s="11"/>
      <c r="BF887" s="11"/>
      <c r="BG887" s="11"/>
      <c r="BH887" s="11"/>
      <c r="BI887" s="11"/>
      <c r="BJ887" s="11"/>
      <c r="BK887" s="11"/>
    </row>
    <row r="888" spans="1:63" ht="12.75">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c r="BA888" s="11"/>
      <c r="BB888" s="11"/>
      <c r="BC888" s="11"/>
      <c r="BD888" s="11"/>
      <c r="BE888" s="11"/>
      <c r="BF888" s="11"/>
      <c r="BG888" s="11"/>
      <c r="BH888" s="11"/>
      <c r="BI888" s="11"/>
      <c r="BJ888" s="11"/>
      <c r="BK888" s="11"/>
    </row>
    <row r="889" spans="1:63" ht="12.75">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c r="BA889" s="11"/>
      <c r="BB889" s="11"/>
      <c r="BC889" s="11"/>
      <c r="BD889" s="11"/>
      <c r="BE889" s="11"/>
      <c r="BF889" s="11"/>
      <c r="BG889" s="11"/>
      <c r="BH889" s="11"/>
      <c r="BI889" s="11"/>
      <c r="BJ889" s="11"/>
      <c r="BK889" s="11"/>
    </row>
    <row r="890" spans="1:63" ht="12.75">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c r="BA890" s="11"/>
      <c r="BB890" s="11"/>
      <c r="BC890" s="11"/>
      <c r="BD890" s="11"/>
      <c r="BE890" s="11"/>
      <c r="BF890" s="11"/>
      <c r="BG890" s="11"/>
      <c r="BH890" s="11"/>
      <c r="BI890" s="11"/>
      <c r="BJ890" s="11"/>
      <c r="BK890" s="11"/>
    </row>
    <row r="891" spans="1:63" ht="12.75">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c r="BA891" s="11"/>
      <c r="BB891" s="11"/>
      <c r="BC891" s="11"/>
      <c r="BD891" s="11"/>
      <c r="BE891" s="11"/>
      <c r="BF891" s="11"/>
      <c r="BG891" s="11"/>
      <c r="BH891" s="11"/>
      <c r="BI891" s="11"/>
      <c r="BJ891" s="11"/>
      <c r="BK891" s="11"/>
    </row>
    <row r="892" spans="1:63" ht="12.75">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c r="BA892" s="11"/>
      <c r="BB892" s="11"/>
      <c r="BC892" s="11"/>
      <c r="BD892" s="11"/>
      <c r="BE892" s="11"/>
      <c r="BF892" s="11"/>
      <c r="BG892" s="11"/>
      <c r="BH892" s="11"/>
      <c r="BI892" s="11"/>
      <c r="BJ892" s="11"/>
      <c r="BK892" s="11"/>
    </row>
    <row r="893" spans="1:63" ht="12.75">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c r="BA893" s="11"/>
      <c r="BB893" s="11"/>
      <c r="BC893" s="11"/>
      <c r="BD893" s="11"/>
      <c r="BE893" s="11"/>
      <c r="BF893" s="11"/>
      <c r="BG893" s="11"/>
      <c r="BH893" s="11"/>
      <c r="BI893" s="11"/>
      <c r="BJ893" s="11"/>
      <c r="BK893" s="11"/>
    </row>
    <row r="894" spans="1:63" ht="12.75">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c r="BA894" s="11"/>
      <c r="BB894" s="11"/>
      <c r="BC894" s="11"/>
      <c r="BD894" s="11"/>
      <c r="BE894" s="11"/>
      <c r="BF894" s="11"/>
      <c r="BG894" s="11"/>
      <c r="BH894" s="11"/>
      <c r="BI894" s="11"/>
      <c r="BJ894" s="11"/>
      <c r="BK894" s="11"/>
    </row>
    <row r="895" spans="1:63" ht="12.7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c r="BA895" s="11"/>
      <c r="BB895" s="11"/>
      <c r="BC895" s="11"/>
      <c r="BD895" s="11"/>
      <c r="BE895" s="11"/>
      <c r="BF895" s="11"/>
      <c r="BG895" s="11"/>
      <c r="BH895" s="11"/>
      <c r="BI895" s="11"/>
      <c r="BJ895" s="11"/>
      <c r="BK895" s="11"/>
    </row>
    <row r="896" spans="1:63" ht="12.75">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c r="BA896" s="11"/>
      <c r="BB896" s="11"/>
      <c r="BC896" s="11"/>
      <c r="BD896" s="11"/>
      <c r="BE896" s="11"/>
      <c r="BF896" s="11"/>
      <c r="BG896" s="11"/>
      <c r="BH896" s="11"/>
      <c r="BI896" s="11"/>
      <c r="BJ896" s="11"/>
      <c r="BK896" s="11"/>
    </row>
    <row r="897" spans="1:63" ht="12.75">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c r="BA897" s="11"/>
      <c r="BB897" s="11"/>
      <c r="BC897" s="11"/>
      <c r="BD897" s="11"/>
      <c r="BE897" s="11"/>
      <c r="BF897" s="11"/>
      <c r="BG897" s="11"/>
      <c r="BH897" s="11"/>
      <c r="BI897" s="11"/>
      <c r="BJ897" s="11"/>
      <c r="BK897" s="11"/>
    </row>
    <row r="898" spans="1:63" ht="12.75">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c r="BA898" s="11"/>
      <c r="BB898" s="11"/>
      <c r="BC898" s="11"/>
      <c r="BD898" s="11"/>
      <c r="BE898" s="11"/>
      <c r="BF898" s="11"/>
      <c r="BG898" s="11"/>
      <c r="BH898" s="11"/>
      <c r="BI898" s="11"/>
      <c r="BJ898" s="11"/>
      <c r="BK898" s="11"/>
    </row>
    <row r="899" spans="1:63" ht="12.75">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c r="BA899" s="11"/>
      <c r="BB899" s="11"/>
      <c r="BC899" s="11"/>
      <c r="BD899" s="11"/>
      <c r="BE899" s="11"/>
      <c r="BF899" s="11"/>
      <c r="BG899" s="11"/>
      <c r="BH899" s="11"/>
      <c r="BI899" s="11"/>
      <c r="BJ899" s="11"/>
      <c r="BK899" s="11"/>
    </row>
    <row r="900" spans="1:63" ht="12.75">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c r="BA900" s="11"/>
      <c r="BB900" s="11"/>
      <c r="BC900" s="11"/>
      <c r="BD900" s="11"/>
      <c r="BE900" s="11"/>
      <c r="BF900" s="11"/>
      <c r="BG900" s="11"/>
      <c r="BH900" s="11"/>
      <c r="BI900" s="11"/>
      <c r="BJ900" s="11"/>
      <c r="BK900" s="11"/>
    </row>
    <row r="901" spans="1:63" ht="12.75">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c r="BA901" s="11"/>
      <c r="BB901" s="11"/>
      <c r="BC901" s="11"/>
      <c r="BD901" s="11"/>
      <c r="BE901" s="11"/>
      <c r="BF901" s="11"/>
      <c r="BG901" s="11"/>
      <c r="BH901" s="11"/>
      <c r="BI901" s="11"/>
      <c r="BJ901" s="11"/>
      <c r="BK901" s="11"/>
    </row>
    <row r="902" spans="1:63" ht="12.75">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c r="BA902" s="11"/>
      <c r="BB902" s="11"/>
      <c r="BC902" s="11"/>
      <c r="BD902" s="11"/>
      <c r="BE902" s="11"/>
      <c r="BF902" s="11"/>
      <c r="BG902" s="11"/>
      <c r="BH902" s="11"/>
      <c r="BI902" s="11"/>
      <c r="BJ902" s="11"/>
      <c r="BK902" s="11"/>
    </row>
    <row r="903" spans="1:63" ht="12.75">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c r="BA903" s="11"/>
      <c r="BB903" s="11"/>
      <c r="BC903" s="11"/>
      <c r="BD903" s="11"/>
      <c r="BE903" s="11"/>
      <c r="BF903" s="11"/>
      <c r="BG903" s="11"/>
      <c r="BH903" s="11"/>
      <c r="BI903" s="11"/>
      <c r="BJ903" s="11"/>
      <c r="BK903" s="11"/>
    </row>
    <row r="904" spans="1:63" ht="12.75">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c r="BA904" s="11"/>
      <c r="BB904" s="11"/>
      <c r="BC904" s="11"/>
      <c r="BD904" s="11"/>
      <c r="BE904" s="11"/>
      <c r="BF904" s="11"/>
      <c r="BG904" s="11"/>
      <c r="BH904" s="11"/>
      <c r="BI904" s="11"/>
      <c r="BJ904" s="11"/>
      <c r="BK904" s="11"/>
    </row>
    <row r="905" spans="1:63" ht="12.7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c r="BA905" s="11"/>
      <c r="BB905" s="11"/>
      <c r="BC905" s="11"/>
      <c r="BD905" s="11"/>
      <c r="BE905" s="11"/>
      <c r="BF905" s="11"/>
      <c r="BG905" s="11"/>
      <c r="BH905" s="11"/>
      <c r="BI905" s="11"/>
      <c r="BJ905" s="11"/>
      <c r="BK905" s="11"/>
    </row>
    <row r="906" spans="1:63" ht="12.75">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c r="BA906" s="11"/>
      <c r="BB906" s="11"/>
      <c r="BC906" s="11"/>
      <c r="BD906" s="11"/>
      <c r="BE906" s="11"/>
      <c r="BF906" s="11"/>
      <c r="BG906" s="11"/>
      <c r="BH906" s="11"/>
      <c r="BI906" s="11"/>
      <c r="BJ906" s="11"/>
      <c r="BK906" s="11"/>
    </row>
    <row r="907" spans="1:63" ht="12.75">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c r="BA907" s="11"/>
      <c r="BB907" s="11"/>
      <c r="BC907" s="11"/>
      <c r="BD907" s="11"/>
      <c r="BE907" s="11"/>
      <c r="BF907" s="11"/>
      <c r="BG907" s="11"/>
      <c r="BH907" s="11"/>
      <c r="BI907" s="11"/>
      <c r="BJ907" s="11"/>
      <c r="BK907" s="11"/>
    </row>
    <row r="908" spans="1:63" ht="12.75">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c r="BA908" s="11"/>
      <c r="BB908" s="11"/>
      <c r="BC908" s="11"/>
      <c r="BD908" s="11"/>
      <c r="BE908" s="11"/>
      <c r="BF908" s="11"/>
      <c r="BG908" s="11"/>
      <c r="BH908" s="11"/>
      <c r="BI908" s="11"/>
      <c r="BJ908" s="11"/>
      <c r="BK908" s="11"/>
    </row>
    <row r="909" spans="1:63" ht="12.75">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c r="BA909" s="11"/>
      <c r="BB909" s="11"/>
      <c r="BC909" s="11"/>
      <c r="BD909" s="11"/>
      <c r="BE909" s="11"/>
      <c r="BF909" s="11"/>
      <c r="BG909" s="11"/>
      <c r="BH909" s="11"/>
      <c r="BI909" s="11"/>
      <c r="BJ909" s="11"/>
      <c r="BK909" s="11"/>
    </row>
    <row r="910" spans="1:63" ht="12.75">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c r="BA910" s="11"/>
      <c r="BB910" s="11"/>
      <c r="BC910" s="11"/>
      <c r="BD910" s="11"/>
      <c r="BE910" s="11"/>
      <c r="BF910" s="11"/>
      <c r="BG910" s="11"/>
      <c r="BH910" s="11"/>
      <c r="BI910" s="11"/>
      <c r="BJ910" s="11"/>
      <c r="BK910" s="11"/>
    </row>
    <row r="911" spans="1:63" ht="12.75">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c r="BA911" s="11"/>
      <c r="BB911" s="11"/>
      <c r="BC911" s="11"/>
      <c r="BD911" s="11"/>
      <c r="BE911" s="11"/>
      <c r="BF911" s="11"/>
      <c r="BG911" s="11"/>
      <c r="BH911" s="11"/>
      <c r="BI911" s="11"/>
      <c r="BJ911" s="11"/>
      <c r="BK911" s="11"/>
    </row>
    <row r="912" spans="1:63" ht="12.75">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c r="BA912" s="11"/>
      <c r="BB912" s="11"/>
      <c r="BC912" s="11"/>
      <c r="BD912" s="11"/>
      <c r="BE912" s="11"/>
      <c r="BF912" s="11"/>
      <c r="BG912" s="11"/>
      <c r="BH912" s="11"/>
      <c r="BI912" s="11"/>
      <c r="BJ912" s="11"/>
      <c r="BK912" s="11"/>
    </row>
    <row r="913" spans="1:63" ht="12.75">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c r="BA913" s="11"/>
      <c r="BB913" s="11"/>
      <c r="BC913" s="11"/>
      <c r="BD913" s="11"/>
      <c r="BE913" s="11"/>
      <c r="BF913" s="11"/>
      <c r="BG913" s="11"/>
      <c r="BH913" s="11"/>
      <c r="BI913" s="11"/>
      <c r="BJ913" s="11"/>
      <c r="BK913" s="11"/>
    </row>
    <row r="914" spans="1:63" ht="12.75">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c r="BA914" s="11"/>
      <c r="BB914" s="11"/>
      <c r="BC914" s="11"/>
      <c r="BD914" s="11"/>
      <c r="BE914" s="11"/>
      <c r="BF914" s="11"/>
      <c r="BG914" s="11"/>
      <c r="BH914" s="11"/>
      <c r="BI914" s="11"/>
      <c r="BJ914" s="11"/>
      <c r="BK914" s="11"/>
    </row>
    <row r="915" spans="1:63" ht="12.7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c r="BA915" s="11"/>
      <c r="BB915" s="11"/>
      <c r="BC915" s="11"/>
      <c r="BD915" s="11"/>
      <c r="BE915" s="11"/>
      <c r="BF915" s="11"/>
      <c r="BG915" s="11"/>
      <c r="BH915" s="11"/>
      <c r="BI915" s="11"/>
      <c r="BJ915" s="11"/>
      <c r="BK915" s="11"/>
    </row>
    <row r="916" spans="1:63" ht="12.75">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c r="BA916" s="11"/>
      <c r="BB916" s="11"/>
      <c r="BC916" s="11"/>
      <c r="BD916" s="11"/>
      <c r="BE916" s="11"/>
      <c r="BF916" s="11"/>
      <c r="BG916" s="11"/>
      <c r="BH916" s="11"/>
      <c r="BI916" s="11"/>
      <c r="BJ916" s="11"/>
      <c r="BK916" s="11"/>
    </row>
    <row r="917" spans="1:63" ht="12.75">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c r="BA917" s="11"/>
      <c r="BB917" s="11"/>
      <c r="BC917" s="11"/>
      <c r="BD917" s="11"/>
      <c r="BE917" s="11"/>
      <c r="BF917" s="11"/>
      <c r="BG917" s="11"/>
      <c r="BH917" s="11"/>
      <c r="BI917" s="11"/>
      <c r="BJ917" s="11"/>
      <c r="BK917" s="11"/>
    </row>
    <row r="918" spans="1:63" ht="12.75">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c r="BA918" s="11"/>
      <c r="BB918" s="11"/>
      <c r="BC918" s="11"/>
      <c r="BD918" s="11"/>
      <c r="BE918" s="11"/>
      <c r="BF918" s="11"/>
      <c r="BG918" s="11"/>
      <c r="BH918" s="11"/>
      <c r="BI918" s="11"/>
      <c r="BJ918" s="11"/>
      <c r="BK918" s="11"/>
    </row>
    <row r="919" spans="1:63" ht="12.75">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c r="BA919" s="11"/>
      <c r="BB919" s="11"/>
      <c r="BC919" s="11"/>
      <c r="BD919" s="11"/>
      <c r="BE919" s="11"/>
      <c r="BF919" s="11"/>
      <c r="BG919" s="11"/>
      <c r="BH919" s="11"/>
      <c r="BI919" s="11"/>
      <c r="BJ919" s="11"/>
      <c r="BK919" s="11"/>
    </row>
    <row r="920" spans="1:63" ht="12.75">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c r="BA920" s="11"/>
      <c r="BB920" s="11"/>
      <c r="BC920" s="11"/>
      <c r="BD920" s="11"/>
      <c r="BE920" s="11"/>
      <c r="BF920" s="11"/>
      <c r="BG920" s="11"/>
      <c r="BH920" s="11"/>
      <c r="BI920" s="11"/>
      <c r="BJ920" s="11"/>
      <c r="BK920" s="11"/>
    </row>
    <row r="921" spans="1:63" ht="12.75">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c r="BA921" s="11"/>
      <c r="BB921" s="11"/>
      <c r="BC921" s="11"/>
      <c r="BD921" s="11"/>
      <c r="BE921" s="11"/>
      <c r="BF921" s="11"/>
      <c r="BG921" s="11"/>
      <c r="BH921" s="11"/>
      <c r="BI921" s="11"/>
      <c r="BJ921" s="11"/>
      <c r="BK921" s="11"/>
    </row>
    <row r="922" spans="1:63" ht="12.75">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c r="BA922" s="11"/>
      <c r="BB922" s="11"/>
      <c r="BC922" s="11"/>
      <c r="BD922" s="11"/>
      <c r="BE922" s="11"/>
      <c r="BF922" s="11"/>
      <c r="BG922" s="11"/>
      <c r="BH922" s="11"/>
      <c r="BI922" s="11"/>
      <c r="BJ922" s="11"/>
      <c r="BK922" s="11"/>
    </row>
    <row r="923" spans="1:63" ht="12.75">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c r="BA923" s="11"/>
      <c r="BB923" s="11"/>
      <c r="BC923" s="11"/>
      <c r="BD923" s="11"/>
      <c r="BE923" s="11"/>
      <c r="BF923" s="11"/>
      <c r="BG923" s="11"/>
      <c r="BH923" s="11"/>
      <c r="BI923" s="11"/>
      <c r="BJ923" s="11"/>
      <c r="BK923" s="11"/>
    </row>
    <row r="924" spans="1:63" ht="12.75">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c r="BA924" s="11"/>
      <c r="BB924" s="11"/>
      <c r="BC924" s="11"/>
      <c r="BD924" s="11"/>
      <c r="BE924" s="11"/>
      <c r="BF924" s="11"/>
      <c r="BG924" s="11"/>
      <c r="BH924" s="11"/>
      <c r="BI924" s="11"/>
      <c r="BJ924" s="11"/>
      <c r="BK924" s="11"/>
    </row>
    <row r="925" spans="1:63" ht="12.7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c r="BA925" s="11"/>
      <c r="BB925" s="11"/>
      <c r="BC925" s="11"/>
      <c r="BD925" s="11"/>
      <c r="BE925" s="11"/>
      <c r="BF925" s="11"/>
      <c r="BG925" s="11"/>
      <c r="BH925" s="11"/>
      <c r="BI925" s="11"/>
      <c r="BJ925" s="11"/>
      <c r="BK925" s="11"/>
    </row>
    <row r="926" spans="1:63" ht="12.75">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c r="BA926" s="11"/>
      <c r="BB926" s="11"/>
      <c r="BC926" s="11"/>
      <c r="BD926" s="11"/>
      <c r="BE926" s="11"/>
      <c r="BF926" s="11"/>
      <c r="BG926" s="11"/>
      <c r="BH926" s="11"/>
      <c r="BI926" s="11"/>
      <c r="BJ926" s="11"/>
      <c r="BK926" s="11"/>
    </row>
    <row r="927" spans="1:63" ht="12.75">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c r="BA927" s="11"/>
      <c r="BB927" s="11"/>
      <c r="BC927" s="11"/>
      <c r="BD927" s="11"/>
      <c r="BE927" s="11"/>
      <c r="BF927" s="11"/>
      <c r="BG927" s="11"/>
      <c r="BH927" s="11"/>
      <c r="BI927" s="11"/>
      <c r="BJ927" s="11"/>
      <c r="BK927" s="11"/>
    </row>
    <row r="928" spans="1:63" ht="12.75">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c r="BA928" s="11"/>
      <c r="BB928" s="11"/>
      <c r="BC928" s="11"/>
      <c r="BD928" s="11"/>
      <c r="BE928" s="11"/>
      <c r="BF928" s="11"/>
      <c r="BG928" s="11"/>
      <c r="BH928" s="11"/>
      <c r="BI928" s="11"/>
      <c r="BJ928" s="11"/>
      <c r="BK928" s="11"/>
    </row>
    <row r="929" spans="1:63" ht="12.75">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c r="BA929" s="11"/>
      <c r="BB929" s="11"/>
      <c r="BC929" s="11"/>
      <c r="BD929" s="11"/>
      <c r="BE929" s="11"/>
      <c r="BF929" s="11"/>
      <c r="BG929" s="11"/>
      <c r="BH929" s="11"/>
      <c r="BI929" s="11"/>
      <c r="BJ929" s="11"/>
      <c r="BK929" s="11"/>
    </row>
    <row r="930" spans="1:63" ht="12.75">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c r="BA930" s="11"/>
      <c r="BB930" s="11"/>
      <c r="BC930" s="11"/>
      <c r="BD930" s="11"/>
      <c r="BE930" s="11"/>
      <c r="BF930" s="11"/>
      <c r="BG930" s="11"/>
      <c r="BH930" s="11"/>
      <c r="BI930" s="11"/>
      <c r="BJ930" s="11"/>
      <c r="BK930" s="11"/>
    </row>
    <row r="931" spans="1:63" ht="12.75">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c r="BA931" s="11"/>
      <c r="BB931" s="11"/>
      <c r="BC931" s="11"/>
      <c r="BD931" s="11"/>
      <c r="BE931" s="11"/>
      <c r="BF931" s="11"/>
      <c r="BG931" s="11"/>
      <c r="BH931" s="11"/>
      <c r="BI931" s="11"/>
      <c r="BJ931" s="11"/>
      <c r="BK931" s="11"/>
    </row>
    <row r="932" spans="1:63" ht="12.75">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c r="BA932" s="11"/>
      <c r="BB932" s="11"/>
      <c r="BC932" s="11"/>
      <c r="BD932" s="11"/>
      <c r="BE932" s="11"/>
      <c r="BF932" s="11"/>
      <c r="BG932" s="11"/>
      <c r="BH932" s="11"/>
      <c r="BI932" s="11"/>
      <c r="BJ932" s="11"/>
      <c r="BK932" s="11"/>
    </row>
    <row r="933" spans="1:63" ht="12.75">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c r="BA933" s="11"/>
      <c r="BB933" s="11"/>
      <c r="BC933" s="11"/>
      <c r="BD933" s="11"/>
      <c r="BE933" s="11"/>
      <c r="BF933" s="11"/>
      <c r="BG933" s="11"/>
      <c r="BH933" s="11"/>
      <c r="BI933" s="11"/>
      <c r="BJ933" s="11"/>
      <c r="BK933" s="11"/>
    </row>
    <row r="934" spans="1:63" ht="12.75">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c r="BA934" s="11"/>
      <c r="BB934" s="11"/>
      <c r="BC934" s="11"/>
      <c r="BD934" s="11"/>
      <c r="BE934" s="11"/>
      <c r="BF934" s="11"/>
      <c r="BG934" s="11"/>
      <c r="BH934" s="11"/>
      <c r="BI934" s="11"/>
      <c r="BJ934" s="11"/>
      <c r="BK934" s="11"/>
    </row>
    <row r="935" spans="1:63" ht="12.7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c r="BA935" s="11"/>
      <c r="BB935" s="11"/>
      <c r="BC935" s="11"/>
      <c r="BD935" s="11"/>
      <c r="BE935" s="11"/>
      <c r="BF935" s="11"/>
      <c r="BG935" s="11"/>
      <c r="BH935" s="11"/>
      <c r="BI935" s="11"/>
      <c r="BJ935" s="11"/>
      <c r="BK935" s="11"/>
    </row>
    <row r="936" spans="1:63" ht="12.75">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c r="BA936" s="11"/>
      <c r="BB936" s="11"/>
      <c r="BC936" s="11"/>
      <c r="BD936" s="11"/>
      <c r="BE936" s="11"/>
      <c r="BF936" s="11"/>
      <c r="BG936" s="11"/>
      <c r="BH936" s="11"/>
      <c r="BI936" s="11"/>
      <c r="BJ936" s="11"/>
      <c r="BK936" s="11"/>
    </row>
    <row r="937" spans="1:63" ht="12.75">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c r="BA937" s="11"/>
      <c r="BB937" s="11"/>
      <c r="BC937" s="11"/>
      <c r="BD937" s="11"/>
      <c r="BE937" s="11"/>
      <c r="BF937" s="11"/>
      <c r="BG937" s="11"/>
      <c r="BH937" s="11"/>
      <c r="BI937" s="11"/>
      <c r="BJ937" s="11"/>
      <c r="BK937" s="11"/>
    </row>
    <row r="938" spans="1:63" ht="12.75">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c r="BA938" s="11"/>
      <c r="BB938" s="11"/>
      <c r="BC938" s="11"/>
      <c r="BD938" s="11"/>
      <c r="BE938" s="11"/>
      <c r="BF938" s="11"/>
      <c r="BG938" s="11"/>
      <c r="BH938" s="11"/>
      <c r="BI938" s="11"/>
      <c r="BJ938" s="11"/>
      <c r="BK938" s="11"/>
    </row>
    <row r="939" spans="1:63" ht="12.75">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c r="BA939" s="11"/>
      <c r="BB939" s="11"/>
      <c r="BC939" s="11"/>
      <c r="BD939" s="11"/>
      <c r="BE939" s="11"/>
      <c r="BF939" s="11"/>
      <c r="BG939" s="11"/>
      <c r="BH939" s="11"/>
      <c r="BI939" s="11"/>
      <c r="BJ939" s="11"/>
      <c r="BK939" s="11"/>
    </row>
    <row r="940" spans="1:63" ht="12.75">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c r="BA940" s="11"/>
      <c r="BB940" s="11"/>
      <c r="BC940" s="11"/>
      <c r="BD940" s="11"/>
      <c r="BE940" s="11"/>
      <c r="BF940" s="11"/>
      <c r="BG940" s="11"/>
      <c r="BH940" s="11"/>
      <c r="BI940" s="11"/>
      <c r="BJ940" s="11"/>
      <c r="BK940" s="11"/>
    </row>
    <row r="941" spans="1:63" ht="12.75">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c r="BA941" s="11"/>
      <c r="BB941" s="11"/>
      <c r="BC941" s="11"/>
      <c r="BD941" s="11"/>
      <c r="BE941" s="11"/>
      <c r="BF941" s="11"/>
      <c r="BG941" s="11"/>
      <c r="BH941" s="11"/>
      <c r="BI941" s="11"/>
      <c r="BJ941" s="11"/>
      <c r="BK941" s="11"/>
    </row>
    <row r="942" spans="1:63" ht="12.75">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c r="BA942" s="11"/>
      <c r="BB942" s="11"/>
      <c r="BC942" s="11"/>
      <c r="BD942" s="11"/>
      <c r="BE942" s="11"/>
      <c r="BF942" s="11"/>
      <c r="BG942" s="11"/>
      <c r="BH942" s="11"/>
      <c r="BI942" s="11"/>
      <c r="BJ942" s="11"/>
      <c r="BK942" s="11"/>
    </row>
    <row r="943" spans="1:63" ht="12.75">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c r="BA943" s="11"/>
      <c r="BB943" s="11"/>
      <c r="BC943" s="11"/>
      <c r="BD943" s="11"/>
      <c r="BE943" s="11"/>
      <c r="BF943" s="11"/>
      <c r="BG943" s="11"/>
      <c r="BH943" s="11"/>
      <c r="BI943" s="11"/>
      <c r="BJ943" s="11"/>
      <c r="BK943" s="11"/>
    </row>
    <row r="944" spans="1:63" ht="12.75">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c r="BA944" s="11"/>
      <c r="BB944" s="11"/>
      <c r="BC944" s="11"/>
      <c r="BD944" s="11"/>
      <c r="BE944" s="11"/>
      <c r="BF944" s="11"/>
      <c r="BG944" s="11"/>
      <c r="BH944" s="11"/>
      <c r="BI944" s="11"/>
      <c r="BJ944" s="11"/>
      <c r="BK944" s="11"/>
    </row>
    <row r="945" spans="1:63" ht="12.7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c r="BA945" s="11"/>
      <c r="BB945" s="11"/>
      <c r="BC945" s="11"/>
      <c r="BD945" s="11"/>
      <c r="BE945" s="11"/>
      <c r="BF945" s="11"/>
      <c r="BG945" s="11"/>
      <c r="BH945" s="11"/>
      <c r="BI945" s="11"/>
      <c r="BJ945" s="11"/>
      <c r="BK945" s="11"/>
    </row>
    <row r="946" spans="1:63" ht="12.75">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c r="BA946" s="11"/>
      <c r="BB946" s="11"/>
      <c r="BC946" s="11"/>
      <c r="BD946" s="11"/>
      <c r="BE946" s="11"/>
      <c r="BF946" s="11"/>
      <c r="BG946" s="11"/>
      <c r="BH946" s="11"/>
      <c r="BI946" s="11"/>
      <c r="BJ946" s="11"/>
      <c r="BK946" s="11"/>
    </row>
    <row r="947" spans="1:63" ht="12.75">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c r="BA947" s="11"/>
      <c r="BB947" s="11"/>
      <c r="BC947" s="11"/>
      <c r="BD947" s="11"/>
      <c r="BE947" s="11"/>
      <c r="BF947" s="11"/>
      <c r="BG947" s="11"/>
      <c r="BH947" s="11"/>
      <c r="BI947" s="11"/>
      <c r="BJ947" s="11"/>
      <c r="BK947" s="11"/>
    </row>
    <row r="948" spans="1:63" ht="12.75">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c r="BA948" s="11"/>
      <c r="BB948" s="11"/>
      <c r="BC948" s="11"/>
      <c r="BD948" s="11"/>
      <c r="BE948" s="11"/>
      <c r="BF948" s="11"/>
      <c r="BG948" s="11"/>
      <c r="BH948" s="11"/>
      <c r="BI948" s="11"/>
      <c r="BJ948" s="11"/>
      <c r="BK948" s="11"/>
    </row>
    <row r="949" spans="1:63" ht="12.75">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c r="BA949" s="11"/>
      <c r="BB949" s="11"/>
      <c r="BC949" s="11"/>
      <c r="BD949" s="11"/>
      <c r="BE949" s="11"/>
      <c r="BF949" s="11"/>
      <c r="BG949" s="11"/>
      <c r="BH949" s="11"/>
      <c r="BI949" s="11"/>
      <c r="BJ949" s="11"/>
      <c r="BK949" s="11"/>
    </row>
    <row r="950" spans="1:63" ht="12.75">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c r="BA950" s="11"/>
      <c r="BB950" s="11"/>
      <c r="BC950" s="11"/>
      <c r="BD950" s="11"/>
      <c r="BE950" s="11"/>
      <c r="BF950" s="11"/>
      <c r="BG950" s="11"/>
      <c r="BH950" s="11"/>
      <c r="BI950" s="11"/>
      <c r="BJ950" s="11"/>
      <c r="BK950" s="11"/>
    </row>
    <row r="951" spans="1:63" ht="12.75">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c r="BA951" s="11"/>
      <c r="BB951" s="11"/>
      <c r="BC951" s="11"/>
      <c r="BD951" s="11"/>
      <c r="BE951" s="11"/>
      <c r="BF951" s="11"/>
      <c r="BG951" s="11"/>
      <c r="BH951" s="11"/>
      <c r="BI951" s="11"/>
      <c r="BJ951" s="11"/>
      <c r="BK951" s="11"/>
    </row>
    <row r="952" spans="1:63" ht="12.75">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c r="BA952" s="11"/>
      <c r="BB952" s="11"/>
      <c r="BC952" s="11"/>
      <c r="BD952" s="11"/>
      <c r="BE952" s="11"/>
      <c r="BF952" s="11"/>
      <c r="BG952" s="11"/>
      <c r="BH952" s="11"/>
      <c r="BI952" s="11"/>
      <c r="BJ952" s="11"/>
      <c r="BK952" s="11"/>
    </row>
    <row r="953" spans="1:63" ht="12.75">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c r="BA953" s="11"/>
      <c r="BB953" s="11"/>
      <c r="BC953" s="11"/>
      <c r="BD953" s="11"/>
      <c r="BE953" s="11"/>
      <c r="BF953" s="11"/>
      <c r="BG953" s="11"/>
      <c r="BH953" s="11"/>
      <c r="BI953" s="11"/>
      <c r="BJ953" s="11"/>
      <c r="BK953" s="11"/>
    </row>
    <row r="954" spans="1:63" ht="12.75">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c r="BA954" s="11"/>
      <c r="BB954" s="11"/>
      <c r="BC954" s="11"/>
      <c r="BD954" s="11"/>
      <c r="BE954" s="11"/>
      <c r="BF954" s="11"/>
      <c r="BG954" s="11"/>
      <c r="BH954" s="11"/>
      <c r="BI954" s="11"/>
      <c r="BJ954" s="11"/>
      <c r="BK954" s="11"/>
    </row>
    <row r="955" spans="1:63" ht="12.7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c r="BA955" s="11"/>
      <c r="BB955" s="11"/>
      <c r="BC955" s="11"/>
      <c r="BD955" s="11"/>
      <c r="BE955" s="11"/>
      <c r="BF955" s="11"/>
      <c r="BG955" s="11"/>
      <c r="BH955" s="11"/>
      <c r="BI955" s="11"/>
      <c r="BJ955" s="11"/>
      <c r="BK955" s="11"/>
    </row>
    <row r="956" spans="1:63" ht="12.75">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c r="BA956" s="11"/>
      <c r="BB956" s="11"/>
      <c r="BC956" s="11"/>
      <c r="BD956" s="11"/>
      <c r="BE956" s="11"/>
      <c r="BF956" s="11"/>
      <c r="BG956" s="11"/>
      <c r="BH956" s="11"/>
      <c r="BI956" s="11"/>
      <c r="BJ956" s="11"/>
      <c r="BK956" s="11"/>
    </row>
    <row r="957" spans="1:63" ht="12.75">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c r="BA957" s="11"/>
      <c r="BB957" s="11"/>
      <c r="BC957" s="11"/>
      <c r="BD957" s="11"/>
      <c r="BE957" s="11"/>
      <c r="BF957" s="11"/>
      <c r="BG957" s="11"/>
      <c r="BH957" s="11"/>
      <c r="BI957" s="11"/>
      <c r="BJ957" s="11"/>
      <c r="BK957" s="11"/>
    </row>
    <row r="958" spans="1:63" ht="12.75">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c r="BA958" s="11"/>
      <c r="BB958" s="11"/>
      <c r="BC958" s="11"/>
      <c r="BD958" s="11"/>
      <c r="BE958" s="11"/>
      <c r="BF958" s="11"/>
      <c r="BG958" s="11"/>
      <c r="BH958" s="11"/>
      <c r="BI958" s="11"/>
      <c r="BJ958" s="11"/>
      <c r="BK958" s="11"/>
    </row>
    <row r="959" spans="1:63" ht="12.75">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c r="BA959" s="11"/>
      <c r="BB959" s="11"/>
      <c r="BC959" s="11"/>
      <c r="BD959" s="11"/>
      <c r="BE959" s="11"/>
      <c r="BF959" s="11"/>
      <c r="BG959" s="11"/>
      <c r="BH959" s="11"/>
      <c r="BI959" s="11"/>
      <c r="BJ959" s="11"/>
      <c r="BK959" s="11"/>
    </row>
    <row r="960" spans="1:63" ht="12.75">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c r="BA960" s="11"/>
      <c r="BB960" s="11"/>
      <c r="BC960" s="11"/>
      <c r="BD960" s="11"/>
      <c r="BE960" s="11"/>
      <c r="BF960" s="11"/>
      <c r="BG960" s="11"/>
      <c r="BH960" s="11"/>
      <c r="BI960" s="11"/>
      <c r="BJ960" s="11"/>
      <c r="BK960" s="11"/>
    </row>
    <row r="961" spans="1:63" ht="12.75">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c r="BA961" s="11"/>
      <c r="BB961" s="11"/>
      <c r="BC961" s="11"/>
      <c r="BD961" s="11"/>
      <c r="BE961" s="11"/>
      <c r="BF961" s="11"/>
      <c r="BG961" s="11"/>
      <c r="BH961" s="11"/>
      <c r="BI961" s="11"/>
      <c r="BJ961" s="11"/>
      <c r="BK961" s="11"/>
    </row>
    <row r="962" spans="1:63" ht="12.75">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c r="BA962" s="11"/>
      <c r="BB962" s="11"/>
      <c r="BC962" s="11"/>
      <c r="BD962" s="11"/>
      <c r="BE962" s="11"/>
      <c r="BF962" s="11"/>
      <c r="BG962" s="11"/>
      <c r="BH962" s="11"/>
      <c r="BI962" s="11"/>
      <c r="BJ962" s="11"/>
      <c r="BK962" s="11"/>
    </row>
    <row r="963" spans="1:63" ht="12.75">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c r="BA963" s="11"/>
      <c r="BB963" s="11"/>
      <c r="BC963" s="11"/>
      <c r="BD963" s="11"/>
      <c r="BE963" s="11"/>
      <c r="BF963" s="11"/>
      <c r="BG963" s="11"/>
      <c r="BH963" s="11"/>
      <c r="BI963" s="11"/>
      <c r="BJ963" s="11"/>
      <c r="BK963" s="11"/>
    </row>
    <row r="964" spans="1:63" ht="12.75">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c r="BA964" s="11"/>
      <c r="BB964" s="11"/>
      <c r="BC964" s="11"/>
      <c r="BD964" s="11"/>
      <c r="BE964" s="11"/>
      <c r="BF964" s="11"/>
      <c r="BG964" s="11"/>
      <c r="BH964" s="11"/>
      <c r="BI964" s="11"/>
      <c r="BJ964" s="11"/>
      <c r="BK964" s="11"/>
    </row>
    <row r="965" spans="1:63" ht="12.7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c r="BA965" s="11"/>
      <c r="BB965" s="11"/>
      <c r="BC965" s="11"/>
      <c r="BD965" s="11"/>
      <c r="BE965" s="11"/>
      <c r="BF965" s="11"/>
      <c r="BG965" s="11"/>
      <c r="BH965" s="11"/>
      <c r="BI965" s="11"/>
      <c r="BJ965" s="11"/>
      <c r="BK965" s="11"/>
    </row>
    <row r="966" spans="1:63" ht="12.75">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c r="BA966" s="11"/>
      <c r="BB966" s="11"/>
      <c r="BC966" s="11"/>
      <c r="BD966" s="11"/>
      <c r="BE966" s="11"/>
      <c r="BF966" s="11"/>
      <c r="BG966" s="11"/>
      <c r="BH966" s="11"/>
      <c r="BI966" s="11"/>
      <c r="BJ966" s="11"/>
      <c r="BK966" s="11"/>
    </row>
    <row r="967" spans="1:63" ht="12.75">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c r="BA967" s="11"/>
      <c r="BB967" s="11"/>
      <c r="BC967" s="11"/>
      <c r="BD967" s="11"/>
      <c r="BE967" s="11"/>
      <c r="BF967" s="11"/>
      <c r="BG967" s="11"/>
      <c r="BH967" s="11"/>
      <c r="BI967" s="11"/>
      <c r="BJ967" s="11"/>
      <c r="BK967" s="11"/>
    </row>
    <row r="968" spans="1:63" ht="12.75">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c r="BA968" s="11"/>
      <c r="BB968" s="11"/>
      <c r="BC968" s="11"/>
      <c r="BD968" s="11"/>
      <c r="BE968" s="11"/>
      <c r="BF968" s="11"/>
      <c r="BG968" s="11"/>
      <c r="BH968" s="11"/>
      <c r="BI968" s="11"/>
      <c r="BJ968" s="11"/>
      <c r="BK968" s="11"/>
    </row>
    <row r="969" spans="1:63" ht="12.75">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c r="BA969" s="11"/>
      <c r="BB969" s="11"/>
      <c r="BC969" s="11"/>
      <c r="BD969" s="11"/>
      <c r="BE969" s="11"/>
      <c r="BF969" s="11"/>
      <c r="BG969" s="11"/>
      <c r="BH969" s="11"/>
      <c r="BI969" s="11"/>
      <c r="BJ969" s="11"/>
      <c r="BK969" s="11"/>
    </row>
    <row r="970" spans="1:63" ht="12.75">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c r="BA970" s="11"/>
      <c r="BB970" s="11"/>
      <c r="BC970" s="11"/>
      <c r="BD970" s="11"/>
      <c r="BE970" s="11"/>
      <c r="BF970" s="11"/>
      <c r="BG970" s="11"/>
      <c r="BH970" s="11"/>
      <c r="BI970" s="11"/>
      <c r="BJ970" s="11"/>
      <c r="BK970" s="11"/>
    </row>
    <row r="971" spans="1:63" ht="12.75">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c r="BA971" s="11"/>
      <c r="BB971" s="11"/>
      <c r="BC971" s="11"/>
      <c r="BD971" s="11"/>
      <c r="BE971" s="11"/>
      <c r="BF971" s="11"/>
      <c r="BG971" s="11"/>
      <c r="BH971" s="11"/>
      <c r="BI971" s="11"/>
      <c r="BJ971" s="11"/>
      <c r="BK971" s="11"/>
    </row>
    <row r="972" spans="1:63" ht="12.75">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c r="BA972" s="11"/>
      <c r="BB972" s="11"/>
      <c r="BC972" s="11"/>
      <c r="BD972" s="11"/>
      <c r="BE972" s="11"/>
      <c r="BF972" s="11"/>
      <c r="BG972" s="11"/>
      <c r="BH972" s="11"/>
      <c r="BI972" s="11"/>
      <c r="BJ972" s="11"/>
      <c r="BK972" s="11"/>
    </row>
    <row r="973" spans="1:63" ht="12.75">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c r="BA973" s="11"/>
      <c r="BB973" s="11"/>
      <c r="BC973" s="11"/>
      <c r="BD973" s="11"/>
      <c r="BE973" s="11"/>
      <c r="BF973" s="11"/>
      <c r="BG973" s="11"/>
      <c r="BH973" s="11"/>
      <c r="BI973" s="11"/>
      <c r="BJ973" s="11"/>
      <c r="BK973" s="11"/>
    </row>
    <row r="974" spans="1:63" ht="12.75">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c r="BA974" s="11"/>
      <c r="BB974" s="11"/>
      <c r="BC974" s="11"/>
      <c r="BD974" s="11"/>
      <c r="BE974" s="11"/>
      <c r="BF974" s="11"/>
      <c r="BG974" s="11"/>
      <c r="BH974" s="11"/>
      <c r="BI974" s="11"/>
      <c r="BJ974" s="11"/>
      <c r="BK974" s="11"/>
    </row>
    <row r="975" spans="1:63" ht="12.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c r="BA975" s="11"/>
      <c r="BB975" s="11"/>
      <c r="BC975" s="11"/>
      <c r="BD975" s="11"/>
      <c r="BE975" s="11"/>
      <c r="BF975" s="11"/>
      <c r="BG975" s="11"/>
      <c r="BH975" s="11"/>
      <c r="BI975" s="11"/>
      <c r="BJ975" s="11"/>
      <c r="BK975" s="11"/>
    </row>
    <row r="976" spans="1:63" ht="12.75">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c r="BA976" s="11"/>
      <c r="BB976" s="11"/>
      <c r="BC976" s="11"/>
      <c r="BD976" s="11"/>
      <c r="BE976" s="11"/>
      <c r="BF976" s="11"/>
      <c r="BG976" s="11"/>
      <c r="BH976" s="11"/>
      <c r="BI976" s="11"/>
      <c r="BJ976" s="11"/>
      <c r="BK976" s="11"/>
    </row>
    <row r="977" spans="1:63" ht="12.75">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c r="BA977" s="11"/>
      <c r="BB977" s="11"/>
      <c r="BC977" s="11"/>
      <c r="BD977" s="11"/>
      <c r="BE977" s="11"/>
      <c r="BF977" s="11"/>
      <c r="BG977" s="11"/>
      <c r="BH977" s="11"/>
      <c r="BI977" s="11"/>
      <c r="BJ977" s="11"/>
      <c r="BK977" s="11"/>
    </row>
    <row r="978" spans="1:63" ht="12.75">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c r="BA978" s="11"/>
      <c r="BB978" s="11"/>
      <c r="BC978" s="11"/>
      <c r="BD978" s="11"/>
      <c r="BE978" s="11"/>
      <c r="BF978" s="11"/>
      <c r="BG978" s="11"/>
      <c r="BH978" s="11"/>
      <c r="BI978" s="11"/>
      <c r="BJ978" s="11"/>
      <c r="BK978" s="11"/>
    </row>
    <row r="979" spans="1:63" ht="12.75">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c r="BA979" s="11"/>
      <c r="BB979" s="11"/>
      <c r="BC979" s="11"/>
      <c r="BD979" s="11"/>
      <c r="BE979" s="11"/>
      <c r="BF979" s="11"/>
      <c r="BG979" s="11"/>
      <c r="BH979" s="11"/>
      <c r="BI979" s="11"/>
      <c r="BJ979" s="11"/>
      <c r="BK979" s="11"/>
    </row>
    <row r="980" spans="1:63" ht="12.75">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c r="BA980" s="11"/>
      <c r="BB980" s="11"/>
      <c r="BC980" s="11"/>
      <c r="BD980" s="11"/>
      <c r="BE980" s="11"/>
      <c r="BF980" s="11"/>
      <c r="BG980" s="11"/>
      <c r="BH980" s="11"/>
      <c r="BI980" s="11"/>
      <c r="BJ980" s="11"/>
      <c r="BK980" s="11"/>
    </row>
    <row r="981" spans="1:63" ht="12.75">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c r="BA981" s="11"/>
      <c r="BB981" s="11"/>
      <c r="BC981" s="11"/>
      <c r="BD981" s="11"/>
      <c r="BE981" s="11"/>
      <c r="BF981" s="11"/>
      <c r="BG981" s="11"/>
      <c r="BH981" s="11"/>
      <c r="BI981" s="11"/>
      <c r="BJ981" s="11"/>
      <c r="BK981" s="11"/>
    </row>
    <row r="982" spans="1:63" ht="12.75">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c r="BA982" s="11"/>
      <c r="BB982" s="11"/>
      <c r="BC982" s="11"/>
      <c r="BD982" s="11"/>
      <c r="BE982" s="11"/>
      <c r="BF982" s="11"/>
      <c r="BG982" s="11"/>
      <c r="BH982" s="11"/>
      <c r="BI982" s="11"/>
      <c r="BJ982" s="11"/>
      <c r="BK982" s="11"/>
    </row>
    <row r="983" spans="1:63" ht="12.75">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c r="BA983" s="11"/>
      <c r="BB983" s="11"/>
      <c r="BC983" s="11"/>
      <c r="BD983" s="11"/>
      <c r="BE983" s="11"/>
      <c r="BF983" s="11"/>
      <c r="BG983" s="11"/>
      <c r="BH983" s="11"/>
      <c r="BI983" s="11"/>
      <c r="BJ983" s="11"/>
      <c r="BK983" s="11"/>
    </row>
    <row r="984" spans="1:63" ht="12.75">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c r="BA984" s="11"/>
      <c r="BB984" s="11"/>
      <c r="BC984" s="11"/>
      <c r="BD984" s="11"/>
      <c r="BE984" s="11"/>
      <c r="BF984" s="11"/>
      <c r="BG984" s="11"/>
      <c r="BH984" s="11"/>
      <c r="BI984" s="11"/>
      <c r="BJ984" s="11"/>
      <c r="BK984" s="11"/>
    </row>
    <row r="985" spans="1:63" ht="12.7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c r="BA985" s="11"/>
      <c r="BB985" s="11"/>
      <c r="BC985" s="11"/>
      <c r="BD985" s="11"/>
      <c r="BE985" s="11"/>
      <c r="BF985" s="11"/>
      <c r="BG985" s="11"/>
      <c r="BH985" s="11"/>
      <c r="BI985" s="11"/>
      <c r="BJ985" s="11"/>
      <c r="BK985" s="11"/>
    </row>
    <row r="986" spans="1:63" ht="12.75">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c r="BA986" s="11"/>
      <c r="BB986" s="11"/>
      <c r="BC986" s="11"/>
      <c r="BD986" s="11"/>
      <c r="BE986" s="11"/>
      <c r="BF986" s="11"/>
      <c r="BG986" s="11"/>
      <c r="BH986" s="11"/>
      <c r="BI986" s="11"/>
      <c r="BJ986" s="11"/>
      <c r="BK986" s="11"/>
    </row>
    <row r="987" spans="1:63" ht="12.75">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c r="BA987" s="11"/>
      <c r="BB987" s="11"/>
      <c r="BC987" s="11"/>
      <c r="BD987" s="11"/>
      <c r="BE987" s="11"/>
      <c r="BF987" s="11"/>
      <c r="BG987" s="11"/>
      <c r="BH987" s="11"/>
      <c r="BI987" s="11"/>
      <c r="BJ987" s="11"/>
      <c r="BK987" s="11"/>
    </row>
    <row r="988" spans="1:63" ht="12.75">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c r="BA988" s="11"/>
      <c r="BB988" s="11"/>
      <c r="BC988" s="11"/>
      <c r="BD988" s="11"/>
      <c r="BE988" s="11"/>
      <c r="BF988" s="11"/>
      <c r="BG988" s="11"/>
      <c r="BH988" s="11"/>
      <c r="BI988" s="11"/>
      <c r="BJ988" s="11"/>
      <c r="BK988" s="11"/>
    </row>
    <row r="989" spans="1:63" ht="12.75">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c r="BA989" s="11"/>
      <c r="BB989" s="11"/>
      <c r="BC989" s="11"/>
      <c r="BD989" s="11"/>
      <c r="BE989" s="11"/>
      <c r="BF989" s="11"/>
      <c r="BG989" s="11"/>
      <c r="BH989" s="11"/>
      <c r="BI989" s="11"/>
      <c r="BJ989" s="11"/>
      <c r="BK989" s="11"/>
    </row>
    <row r="990" spans="1:63" ht="12.75">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c r="BA990" s="11"/>
      <c r="BB990" s="11"/>
      <c r="BC990" s="11"/>
      <c r="BD990" s="11"/>
      <c r="BE990" s="11"/>
      <c r="BF990" s="11"/>
      <c r="BG990" s="11"/>
      <c r="BH990" s="11"/>
      <c r="BI990" s="11"/>
      <c r="BJ990" s="11"/>
      <c r="BK990" s="11"/>
    </row>
    <row r="991" spans="1:63" ht="12.75">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c r="BA991" s="11"/>
      <c r="BB991" s="11"/>
      <c r="BC991" s="11"/>
      <c r="BD991" s="11"/>
      <c r="BE991" s="11"/>
      <c r="BF991" s="11"/>
      <c r="BG991" s="11"/>
      <c r="BH991" s="11"/>
      <c r="BI991" s="11"/>
      <c r="BJ991" s="11"/>
      <c r="BK991" s="11"/>
    </row>
    <row r="992" spans="1:63" ht="12.75">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c r="BA992" s="11"/>
      <c r="BB992" s="11"/>
      <c r="BC992" s="11"/>
      <c r="BD992" s="11"/>
      <c r="BE992" s="11"/>
      <c r="BF992" s="11"/>
      <c r="BG992" s="11"/>
      <c r="BH992" s="11"/>
      <c r="BI992" s="11"/>
      <c r="BJ992" s="11"/>
      <c r="BK992" s="11"/>
    </row>
    <row r="993" spans="1:63" ht="12.75">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c r="BA993" s="11"/>
      <c r="BB993" s="11"/>
      <c r="BC993" s="11"/>
      <c r="BD993" s="11"/>
      <c r="BE993" s="11"/>
      <c r="BF993" s="11"/>
      <c r="BG993" s="11"/>
      <c r="BH993" s="11"/>
      <c r="BI993" s="11"/>
      <c r="BJ993" s="11"/>
      <c r="BK993" s="11"/>
    </row>
    <row r="994" spans="1:63" ht="12.75">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c r="BA994" s="11"/>
      <c r="BB994" s="11"/>
      <c r="BC994" s="11"/>
      <c r="BD994" s="11"/>
      <c r="BE994" s="11"/>
      <c r="BF994" s="11"/>
      <c r="BG994" s="11"/>
      <c r="BH994" s="11"/>
      <c r="BI994" s="11"/>
      <c r="BJ994" s="11"/>
      <c r="BK994" s="11"/>
    </row>
    <row r="995" spans="1:63" ht="12.7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c r="BA995" s="11"/>
      <c r="BB995" s="11"/>
      <c r="BC995" s="11"/>
      <c r="BD995" s="11"/>
      <c r="BE995" s="11"/>
      <c r="BF995" s="11"/>
      <c r="BG995" s="11"/>
      <c r="BH995" s="11"/>
      <c r="BI995" s="11"/>
      <c r="BJ995" s="11"/>
      <c r="BK995" s="11"/>
    </row>
    <row r="996" spans="1:63" ht="12.75">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c r="BA996" s="11"/>
      <c r="BB996" s="11"/>
      <c r="BC996" s="11"/>
      <c r="BD996" s="11"/>
      <c r="BE996" s="11"/>
      <c r="BF996" s="11"/>
      <c r="BG996" s="11"/>
      <c r="BH996" s="11"/>
      <c r="BI996" s="11"/>
      <c r="BJ996" s="11"/>
      <c r="BK996" s="11"/>
    </row>
    <row r="997" spans="1:63" ht="12.75">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c r="BA997" s="11"/>
      <c r="BB997" s="11"/>
      <c r="BC997" s="11"/>
      <c r="BD997" s="11"/>
      <c r="BE997" s="11"/>
      <c r="BF997" s="11"/>
      <c r="BG997" s="11"/>
      <c r="BH997" s="11"/>
      <c r="BI997" s="11"/>
      <c r="BJ997" s="11"/>
    </row>
  </sheetData>
  <hyperlinks>
    <hyperlink ref="A2" r:id="rId1"/>
    <hyperlink ref="A4" r:id="rId2"/>
    <hyperlink ref="A5" r:id="rId3"/>
    <hyperlink ref="A6" r:id="rId4"/>
    <hyperlink ref="A7" r:id="rId5"/>
    <hyperlink ref="A8" r:id="rId6"/>
    <hyperlink ref="A9" r:id="rId7"/>
    <hyperlink ref="A10" r:id="rId8"/>
    <hyperlink ref="A11" r:id="rId9"/>
    <hyperlink ref="A12" r:id="rId10"/>
    <hyperlink ref="A13" r:id="rId11"/>
    <hyperlink ref="A14" r:id="rId12"/>
    <hyperlink ref="A15" r:id="rId13"/>
    <hyperlink ref="D17" r:id="rId14"/>
    <hyperlink ref="A19" r:id="rId15"/>
    <hyperlink ref="A20" r:id="rId16"/>
    <hyperlink ref="A21" r:id="rId17"/>
    <hyperlink ref="A22" r:id="rId18"/>
    <hyperlink ref="A24" r:id="rId19"/>
    <hyperlink ref="A25" r:id="rId20"/>
    <hyperlink ref="A26" r:id="rId21"/>
    <hyperlink ref="A27" r:id="rId22"/>
    <hyperlink ref="A28" r:id="rId23"/>
    <hyperlink ref="A29" r:id="rId24"/>
    <hyperlink ref="A30" r:id="rId25"/>
    <hyperlink ref="A31" r:id="rId26"/>
    <hyperlink ref="A32" r:id="rId27"/>
    <hyperlink ref="A33" r:id="rId28"/>
    <hyperlink ref="A34" r:id="rId29"/>
    <hyperlink ref="A35" r:id="rId30"/>
    <hyperlink ref="A36" r:id="rId31"/>
    <hyperlink ref="A37" r:id="rId32"/>
    <hyperlink ref="A38" r:id="rId33"/>
    <hyperlink ref="A39" r:id="rId34"/>
    <hyperlink ref="A40" r:id="rId35"/>
    <hyperlink ref="A41" r:id="rId36"/>
    <hyperlink ref="A42" r:id="rId37"/>
    <hyperlink ref="A43" r:id="rId38"/>
    <hyperlink ref="A44" r:id="rId39"/>
    <hyperlink ref="A45" r:id="rId40"/>
    <hyperlink ref="A46" r:id="rId41"/>
    <hyperlink ref="A47" r:id="rId4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L1000"/>
  <sheetViews>
    <sheetView tabSelected="1" workbookViewId="0">
      <selection activeCell="M2" sqref="M2"/>
    </sheetView>
  </sheetViews>
  <sheetFormatPr defaultColWidth="12.5703125" defaultRowHeight="15.75" customHeight="1"/>
  <cols>
    <col min="11" max="11" width="28.7109375" customWidth="1"/>
    <col min="12" max="12" width="42.140625" customWidth="1"/>
    <col min="16" max="16" width="19.28515625" customWidth="1"/>
  </cols>
  <sheetData>
    <row r="1" spans="1:90">
      <c r="A1" s="38" t="s">
        <v>336</v>
      </c>
      <c r="B1" s="39" t="s">
        <v>0</v>
      </c>
      <c r="C1" s="39" t="s">
        <v>1</v>
      </c>
      <c r="D1" s="40" t="s">
        <v>292</v>
      </c>
      <c r="E1" s="39" t="s">
        <v>3</v>
      </c>
      <c r="F1" s="39" t="str">
        <f>P1</f>
        <v>Mã barcode tự phát sinh từ Order</v>
      </c>
      <c r="G1" s="39" t="s">
        <v>4</v>
      </c>
      <c r="H1" s="41" t="s">
        <v>293</v>
      </c>
      <c r="I1" s="39" t="s">
        <v>294</v>
      </c>
      <c r="J1" s="42" t="s">
        <v>295</v>
      </c>
      <c r="K1" s="39" t="s">
        <v>296</v>
      </c>
      <c r="L1" s="40" t="s">
        <v>297</v>
      </c>
      <c r="M1" s="43" t="s">
        <v>9</v>
      </c>
      <c r="N1" s="44" t="s">
        <v>298</v>
      </c>
      <c r="O1" s="39" t="s">
        <v>11</v>
      </c>
      <c r="P1" s="39" t="s">
        <v>299</v>
      </c>
      <c r="Q1" s="44" t="s">
        <v>300</v>
      </c>
      <c r="R1" s="39" t="s">
        <v>13</v>
      </c>
      <c r="S1" s="39" t="s">
        <v>14</v>
      </c>
      <c r="T1" s="39" t="s">
        <v>15</v>
      </c>
      <c r="U1" s="39" t="s">
        <v>16</v>
      </c>
      <c r="V1" s="39" t="s">
        <v>17</v>
      </c>
      <c r="W1" s="39" t="s">
        <v>18</v>
      </c>
      <c r="X1" s="39" t="s">
        <v>19</v>
      </c>
      <c r="Y1" s="39" t="s">
        <v>20</v>
      </c>
      <c r="Z1" s="45" t="s">
        <v>21</v>
      </c>
      <c r="AA1" s="39" t="s">
        <v>22</v>
      </c>
      <c r="AB1" s="39" t="s">
        <v>301</v>
      </c>
      <c r="AC1" s="39" t="s">
        <v>24</v>
      </c>
      <c r="AD1" s="39" t="s">
        <v>25</v>
      </c>
      <c r="AE1" s="39" t="s">
        <v>26</v>
      </c>
      <c r="AF1" s="39" t="s">
        <v>27</v>
      </c>
      <c r="AG1" s="38"/>
      <c r="AH1" s="38"/>
      <c r="AI1" s="38"/>
      <c r="AJ1" s="38"/>
      <c r="AK1" s="38"/>
      <c r="AL1" s="38"/>
      <c r="AM1" s="38"/>
      <c r="AN1" s="38"/>
      <c r="AO1" s="38"/>
      <c r="AP1" s="38"/>
      <c r="AQ1" s="38"/>
      <c r="AR1" s="38"/>
      <c r="AS1" s="38"/>
      <c r="AT1" s="38"/>
      <c r="AU1" s="38"/>
      <c r="AV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row>
    <row r="2" spans="1:90">
      <c r="A2" s="46" t="str">
        <f t="shared" ref="A2" si="0">P2</f>
        <v>3805564513-1/17</v>
      </c>
      <c r="B2" s="47" t="s">
        <v>302</v>
      </c>
      <c r="C2" s="46" t="s">
        <v>303</v>
      </c>
      <c r="D2" s="48" t="s">
        <v>304</v>
      </c>
      <c r="E2" s="38"/>
      <c r="F2" s="46" t="str">
        <f t="shared" ref="F2" si="1">A2</f>
        <v>3805564513-1/17</v>
      </c>
      <c r="G2" s="38"/>
      <c r="H2" s="47" t="s">
        <v>305</v>
      </c>
      <c r="I2" s="60" t="s">
        <v>306</v>
      </c>
      <c r="J2" s="49" t="s">
        <v>307</v>
      </c>
      <c r="K2" s="46" t="s">
        <v>308</v>
      </c>
      <c r="L2" s="50" t="str">
        <f t="shared" ref="L2" si="2">J2&amp;"-"&amp;N2&amp;"-"&amp;M2&amp;"-"&amp;RIGHT(O2,LEN(O2)-1)&amp;"-"&amp;COUNTIF($O$2:O2,O2)&amp;"/"&amp;COUNTIF($O$2:$O1000,O2)</f>
        <v>BCNL-IN-Đen-Adult T-3805564513-1/17</v>
      </c>
      <c r="M2" s="49" t="s">
        <v>337</v>
      </c>
      <c r="N2" s="51" t="s">
        <v>310</v>
      </c>
      <c r="O2" s="46" t="s">
        <v>311</v>
      </c>
      <c r="P2" s="52" t="str">
        <f t="shared" ref="P2" si="3">RIGHT(O2,LEN(O2)-1)&amp;"-"&amp;COUNTIF($O$2:O2,O2)&amp;"/"&amp;COUNTIF($O$2:$O1000,O2)</f>
        <v>3805564513-1/17</v>
      </c>
      <c r="Q2" s="51">
        <v>1</v>
      </c>
      <c r="R2" s="46" t="s">
        <v>312</v>
      </c>
      <c r="S2" s="46" t="s">
        <v>313</v>
      </c>
      <c r="T2" s="46" t="s">
        <v>314</v>
      </c>
      <c r="U2" s="46" t="s">
        <v>315</v>
      </c>
      <c r="V2" s="51" t="s">
        <v>316</v>
      </c>
      <c r="W2" s="46" t="s">
        <v>56</v>
      </c>
      <c r="X2" s="38"/>
      <c r="Y2" s="38"/>
      <c r="Z2" s="51" t="s">
        <v>317</v>
      </c>
      <c r="AA2" s="38"/>
      <c r="AB2" s="38"/>
      <c r="AC2" s="38"/>
      <c r="AD2" s="38"/>
      <c r="AE2" s="38"/>
      <c r="AF2" s="38"/>
      <c r="AG2" s="38"/>
      <c r="AH2" s="38"/>
      <c r="AI2" s="38"/>
      <c r="AJ2" s="38"/>
      <c r="AK2" s="38"/>
      <c r="AL2" s="38"/>
      <c r="AM2" s="38"/>
      <c r="AN2" s="38"/>
      <c r="AO2" s="38"/>
      <c r="AP2" s="38"/>
      <c r="AQ2" s="38"/>
      <c r="AR2" s="38"/>
      <c r="AS2" s="38"/>
      <c r="AT2" s="38"/>
      <c r="AU2" s="38"/>
      <c r="AV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row>
    <row r="3" spans="1:90" s="59" customFormat="1">
      <c r="A3" s="46" t="str">
        <f t="shared" ref="A3:A18" si="4">P3</f>
        <v>3805564513-2/17</v>
      </c>
      <c r="B3" s="58" t="s">
        <v>302</v>
      </c>
      <c r="C3" s="46" t="s">
        <v>303</v>
      </c>
      <c r="D3" s="48" t="s">
        <v>304</v>
      </c>
      <c r="E3" s="38"/>
      <c r="F3" s="46" t="str">
        <f t="shared" ref="F3:F18" si="5">A3</f>
        <v>3805564513-2/17</v>
      </c>
      <c r="G3" s="38"/>
      <c r="H3" s="58" t="s">
        <v>305</v>
      </c>
      <c r="I3" s="61"/>
      <c r="J3" s="49" t="s">
        <v>307</v>
      </c>
      <c r="K3" s="46" t="s">
        <v>308</v>
      </c>
      <c r="L3" s="50" t="str">
        <f t="shared" ref="L3:L18" si="6">J3&amp;"-"&amp;N3&amp;"-"&amp;M3&amp;"-"&amp;RIGHT(O3,LEN(O3)-1)&amp;"-"&amp;COUNTIF($O$2:O3,O3)&amp;"/"&amp;COUNTIF($O$2:$O1001,O3)</f>
        <v>BCNL-IN-Đen-Adult M-3805564513-2/17</v>
      </c>
      <c r="M3" s="49" t="s">
        <v>309</v>
      </c>
      <c r="N3" s="51" t="s">
        <v>310</v>
      </c>
      <c r="O3" s="46" t="s">
        <v>311</v>
      </c>
      <c r="P3" s="52" t="str">
        <f t="shared" ref="P3:P18" si="7">RIGHT(O3,LEN(O3)-1)&amp;"-"&amp;COUNTIF($O$2:O3,O3)&amp;"/"&amp;COUNTIF($O$2:$O1001,O3)</f>
        <v>3805564513-2/17</v>
      </c>
      <c r="Q3" s="51">
        <v>1</v>
      </c>
      <c r="R3" s="46" t="s">
        <v>312</v>
      </c>
      <c r="S3" s="46" t="s">
        <v>313</v>
      </c>
      <c r="T3" s="46" t="s">
        <v>314</v>
      </c>
      <c r="U3" s="46" t="s">
        <v>315</v>
      </c>
      <c r="V3" s="51" t="s">
        <v>316</v>
      </c>
      <c r="W3" s="46" t="s">
        <v>56</v>
      </c>
      <c r="X3" s="38"/>
      <c r="Y3" s="38"/>
      <c r="Z3" s="51" t="s">
        <v>317</v>
      </c>
      <c r="AA3" s="38"/>
      <c r="AB3" s="38"/>
      <c r="AC3" s="38"/>
      <c r="AD3" s="38"/>
      <c r="AE3" s="38"/>
      <c r="AF3" s="38"/>
      <c r="AG3" s="38"/>
      <c r="AH3" s="38"/>
      <c r="AI3" s="38"/>
      <c r="AJ3" s="38"/>
      <c r="AK3" s="38"/>
      <c r="AL3" s="38"/>
      <c r="AM3" s="38"/>
      <c r="AN3" s="38"/>
      <c r="AO3" s="38"/>
      <c r="AP3" s="38"/>
      <c r="AQ3" s="38"/>
      <c r="AR3" s="38"/>
      <c r="AS3" s="38"/>
      <c r="AT3" s="38"/>
      <c r="AU3" s="38"/>
      <c r="AV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row>
    <row r="4" spans="1:90" s="59" customFormat="1">
      <c r="A4" s="46" t="str">
        <f t="shared" si="4"/>
        <v>3805564513-3/17</v>
      </c>
      <c r="B4" s="58" t="s">
        <v>302</v>
      </c>
      <c r="C4" s="46" t="s">
        <v>303</v>
      </c>
      <c r="D4" s="48" t="s">
        <v>304</v>
      </c>
      <c r="E4" s="38"/>
      <c r="F4" s="46" t="str">
        <f t="shared" si="5"/>
        <v>3805564513-3/17</v>
      </c>
      <c r="G4" s="38"/>
      <c r="H4" s="58" t="s">
        <v>305</v>
      </c>
      <c r="I4" s="61"/>
      <c r="J4" s="49" t="s">
        <v>307</v>
      </c>
      <c r="K4" s="46" t="s">
        <v>308</v>
      </c>
      <c r="L4" s="50" t="str">
        <f t="shared" si="6"/>
        <v>BCNL-IN-Đen-Adult M-3805564513-3/17</v>
      </c>
      <c r="M4" s="49" t="s">
        <v>309</v>
      </c>
      <c r="N4" s="51" t="s">
        <v>310</v>
      </c>
      <c r="O4" s="46" t="s">
        <v>311</v>
      </c>
      <c r="P4" s="52" t="str">
        <f t="shared" si="7"/>
        <v>3805564513-3/17</v>
      </c>
      <c r="Q4" s="51">
        <v>1</v>
      </c>
      <c r="R4" s="46" t="s">
        <v>312</v>
      </c>
      <c r="S4" s="46" t="s">
        <v>313</v>
      </c>
      <c r="T4" s="46" t="s">
        <v>314</v>
      </c>
      <c r="U4" s="46" t="s">
        <v>315</v>
      </c>
      <c r="V4" s="51" t="s">
        <v>316</v>
      </c>
      <c r="W4" s="46" t="s">
        <v>56</v>
      </c>
      <c r="X4" s="38"/>
      <c r="Y4" s="38"/>
      <c r="Z4" s="51" t="s">
        <v>317</v>
      </c>
      <c r="AA4" s="38"/>
      <c r="AB4" s="38"/>
      <c r="AC4" s="38"/>
      <c r="AD4" s="38"/>
      <c r="AE4" s="38"/>
      <c r="AF4" s="38"/>
      <c r="AG4" s="38"/>
      <c r="AH4" s="38"/>
      <c r="AI4" s="38"/>
      <c r="AJ4" s="38"/>
      <c r="AK4" s="38"/>
      <c r="AL4" s="38"/>
      <c r="AM4" s="38"/>
      <c r="AN4" s="38"/>
      <c r="AO4" s="38"/>
      <c r="AP4" s="38"/>
      <c r="AQ4" s="38"/>
      <c r="AR4" s="38"/>
      <c r="AS4" s="38"/>
      <c r="AT4" s="38"/>
      <c r="AU4" s="38"/>
      <c r="AV4" s="3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row>
    <row r="5" spans="1:90" s="59" customFormat="1">
      <c r="A5" s="46" t="str">
        <f t="shared" si="4"/>
        <v>3805564513-4/17</v>
      </c>
      <c r="B5" s="58" t="s">
        <v>302</v>
      </c>
      <c r="C5" s="46" t="s">
        <v>303</v>
      </c>
      <c r="D5" s="48" t="s">
        <v>304</v>
      </c>
      <c r="E5" s="38"/>
      <c r="F5" s="46" t="str">
        <f t="shared" si="5"/>
        <v>3805564513-4/17</v>
      </c>
      <c r="G5" s="38"/>
      <c r="H5" s="58" t="s">
        <v>305</v>
      </c>
      <c r="I5" s="58" t="s">
        <v>318</v>
      </c>
      <c r="J5" s="49" t="s">
        <v>307</v>
      </c>
      <c r="K5" s="46" t="s">
        <v>308</v>
      </c>
      <c r="L5" s="50" t="str">
        <f t="shared" si="6"/>
        <v>BCNL-IN-Đen-Adult M-3805564513-4/17</v>
      </c>
      <c r="M5" s="49" t="s">
        <v>309</v>
      </c>
      <c r="N5" s="51" t="s">
        <v>310</v>
      </c>
      <c r="O5" s="46" t="s">
        <v>311</v>
      </c>
      <c r="P5" s="52" t="str">
        <f t="shared" si="7"/>
        <v>3805564513-4/17</v>
      </c>
      <c r="Q5" s="51">
        <v>1</v>
      </c>
      <c r="R5" s="46" t="s">
        <v>312</v>
      </c>
      <c r="S5" s="46" t="s">
        <v>313</v>
      </c>
      <c r="T5" s="46" t="s">
        <v>314</v>
      </c>
      <c r="U5" s="46" t="s">
        <v>315</v>
      </c>
      <c r="V5" s="51" t="s">
        <v>316</v>
      </c>
      <c r="W5" s="46" t="s">
        <v>56</v>
      </c>
      <c r="X5" s="38"/>
      <c r="Y5" s="38"/>
      <c r="Z5" s="51" t="s">
        <v>317</v>
      </c>
      <c r="AA5" s="38"/>
      <c r="AB5" s="38"/>
      <c r="AC5" s="38"/>
      <c r="AD5" s="38"/>
      <c r="AE5" s="38"/>
      <c r="AF5" s="38"/>
      <c r="AG5" s="38"/>
      <c r="AH5" s="38"/>
      <c r="AI5" s="38"/>
      <c r="AJ5" s="38"/>
      <c r="AK5" s="38"/>
      <c r="AL5" s="38"/>
      <c r="AM5" s="38"/>
      <c r="AN5" s="38"/>
      <c r="AO5" s="38"/>
      <c r="AP5" s="38"/>
      <c r="AQ5" s="38"/>
      <c r="AR5" s="38"/>
      <c r="AS5" s="38"/>
      <c r="AT5" s="38"/>
      <c r="AU5" s="38"/>
      <c r="AV5" s="3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row>
    <row r="6" spans="1:90" s="59" customFormat="1">
      <c r="A6" s="46" t="str">
        <f t="shared" si="4"/>
        <v>3805564513-5/17</v>
      </c>
      <c r="B6" s="58" t="s">
        <v>302</v>
      </c>
      <c r="C6" s="46" t="s">
        <v>303</v>
      </c>
      <c r="D6" s="48" t="s">
        <v>304</v>
      </c>
      <c r="E6" s="38"/>
      <c r="F6" s="46" t="str">
        <f t="shared" si="5"/>
        <v>3805564513-5/17</v>
      </c>
      <c r="G6" s="38"/>
      <c r="H6" s="58" t="s">
        <v>305</v>
      </c>
      <c r="J6" s="49" t="s">
        <v>307</v>
      </c>
      <c r="K6" s="46" t="s">
        <v>308</v>
      </c>
      <c r="L6" s="50" t="str">
        <f t="shared" si="6"/>
        <v>BCNL-IN-Đen-Adult M-3805564513-5/17</v>
      </c>
      <c r="M6" s="49" t="s">
        <v>309</v>
      </c>
      <c r="N6" s="51" t="s">
        <v>310</v>
      </c>
      <c r="O6" s="46" t="s">
        <v>311</v>
      </c>
      <c r="P6" s="52" t="str">
        <f t="shared" si="7"/>
        <v>3805564513-5/17</v>
      </c>
      <c r="Q6" s="51">
        <v>1</v>
      </c>
      <c r="R6" s="46" t="s">
        <v>312</v>
      </c>
      <c r="S6" s="46" t="s">
        <v>313</v>
      </c>
      <c r="T6" s="46" t="s">
        <v>314</v>
      </c>
      <c r="U6" s="46" t="s">
        <v>315</v>
      </c>
      <c r="V6" s="51" t="s">
        <v>316</v>
      </c>
      <c r="W6" s="46" t="s">
        <v>56</v>
      </c>
      <c r="X6" s="38"/>
      <c r="Y6" s="38"/>
      <c r="Z6" s="51" t="s">
        <v>317</v>
      </c>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row>
    <row r="7" spans="1:90" s="59" customFormat="1">
      <c r="A7" s="46" t="str">
        <f t="shared" si="4"/>
        <v>3805564513-6/17</v>
      </c>
      <c r="B7" s="58" t="s">
        <v>302</v>
      </c>
      <c r="C7" s="46" t="s">
        <v>303</v>
      </c>
      <c r="D7" s="48" t="s">
        <v>304</v>
      </c>
      <c r="E7" s="38"/>
      <c r="F7" s="46" t="str">
        <f t="shared" si="5"/>
        <v>3805564513-6/17</v>
      </c>
      <c r="G7" s="38"/>
      <c r="H7" s="58" t="s">
        <v>305</v>
      </c>
      <c r="J7" s="49" t="s">
        <v>307</v>
      </c>
      <c r="K7" s="46" t="s">
        <v>308</v>
      </c>
      <c r="L7" s="50" t="str">
        <f t="shared" si="6"/>
        <v>BCNL-IN-Đen-Adult M-3805564513-6/17</v>
      </c>
      <c r="M7" s="49" t="s">
        <v>309</v>
      </c>
      <c r="N7" s="51" t="s">
        <v>310</v>
      </c>
      <c r="O7" s="46" t="s">
        <v>311</v>
      </c>
      <c r="P7" s="52" t="str">
        <f t="shared" si="7"/>
        <v>3805564513-6/17</v>
      </c>
      <c r="Q7" s="51">
        <v>1</v>
      </c>
      <c r="R7" s="46" t="s">
        <v>312</v>
      </c>
      <c r="S7" s="46" t="s">
        <v>313</v>
      </c>
      <c r="T7" s="46" t="s">
        <v>314</v>
      </c>
      <c r="U7" s="46" t="s">
        <v>315</v>
      </c>
      <c r="V7" s="51" t="s">
        <v>316</v>
      </c>
      <c r="W7" s="46" t="s">
        <v>56</v>
      </c>
      <c r="X7" s="38"/>
      <c r="Y7" s="38"/>
      <c r="Z7" s="51" t="s">
        <v>317</v>
      </c>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row>
    <row r="8" spans="1:90" s="59" customFormat="1">
      <c r="A8" s="46" t="str">
        <f t="shared" si="4"/>
        <v>3805564513-7/17</v>
      </c>
      <c r="B8" s="58" t="s">
        <v>302</v>
      </c>
      <c r="C8" s="46" t="s">
        <v>303</v>
      </c>
      <c r="D8" s="48" t="s">
        <v>304</v>
      </c>
      <c r="E8" s="38"/>
      <c r="F8" s="46" t="str">
        <f t="shared" si="5"/>
        <v>3805564513-7/17</v>
      </c>
      <c r="G8" s="38"/>
      <c r="H8" s="58" t="s">
        <v>305</v>
      </c>
      <c r="I8" s="38"/>
      <c r="J8" s="49" t="s">
        <v>307</v>
      </c>
      <c r="K8" s="46" t="s">
        <v>308</v>
      </c>
      <c r="L8" s="50" t="str">
        <f t="shared" si="6"/>
        <v>BCNL-IN-Đen-Adult M-3805564513-7/17</v>
      </c>
      <c r="M8" s="49" t="s">
        <v>309</v>
      </c>
      <c r="N8" s="51" t="s">
        <v>310</v>
      </c>
      <c r="O8" s="46" t="s">
        <v>311</v>
      </c>
      <c r="P8" s="52" t="str">
        <f t="shared" si="7"/>
        <v>3805564513-7/17</v>
      </c>
      <c r="Q8" s="51">
        <v>1</v>
      </c>
      <c r="R8" s="46" t="s">
        <v>312</v>
      </c>
      <c r="S8" s="46" t="s">
        <v>313</v>
      </c>
      <c r="T8" s="46" t="s">
        <v>314</v>
      </c>
      <c r="U8" s="46" t="s">
        <v>315</v>
      </c>
      <c r="V8" s="51" t="s">
        <v>316</v>
      </c>
      <c r="W8" s="46" t="s">
        <v>56</v>
      </c>
      <c r="X8" s="38"/>
      <c r="Y8" s="38"/>
      <c r="Z8" s="51" t="s">
        <v>317</v>
      </c>
      <c r="AA8" s="38"/>
      <c r="AB8" s="38"/>
      <c r="AC8" s="38"/>
      <c r="AD8" s="38"/>
      <c r="AE8" s="38"/>
      <c r="AF8" s="38"/>
      <c r="AG8" s="38"/>
      <c r="AH8" s="38"/>
      <c r="AI8" s="38"/>
      <c r="AJ8" s="38"/>
      <c r="AK8" s="38"/>
      <c r="AL8" s="38"/>
      <c r="AM8" s="38"/>
      <c r="AN8" s="38"/>
      <c r="AO8" s="38"/>
      <c r="AP8" s="38"/>
      <c r="AQ8" s="38"/>
      <c r="AR8" s="38"/>
      <c r="AS8" s="38"/>
      <c r="AT8" s="38"/>
      <c r="AU8" s="38"/>
      <c r="AV8" s="38"/>
      <c r="AW8" s="38"/>
      <c r="AX8" s="38"/>
      <c r="AY8" s="38"/>
      <c r="AZ8" s="38"/>
      <c r="BA8" s="38"/>
      <c r="BB8" s="38"/>
      <c r="BC8" s="38"/>
      <c r="BD8" s="38"/>
      <c r="BE8" s="38"/>
      <c r="BF8" s="38"/>
      <c r="BG8" s="38"/>
      <c r="BH8" s="38"/>
      <c r="BI8" s="38"/>
      <c r="BJ8" s="38"/>
      <c r="BK8" s="38"/>
      <c r="BL8" s="38"/>
      <c r="BM8" s="38"/>
      <c r="BN8" s="38"/>
      <c r="BO8" s="38"/>
      <c r="BP8" s="38"/>
      <c r="BQ8" s="38"/>
      <c r="BR8" s="38"/>
      <c r="BS8" s="38"/>
      <c r="BT8" s="38"/>
      <c r="BU8" s="38"/>
      <c r="BV8" s="38"/>
      <c r="BW8" s="38"/>
      <c r="BX8" s="38"/>
      <c r="BY8" s="38"/>
      <c r="BZ8" s="38"/>
      <c r="CA8" s="38"/>
      <c r="CB8" s="38"/>
      <c r="CC8" s="38"/>
      <c r="CD8" s="38"/>
      <c r="CE8" s="38"/>
      <c r="CF8" s="38"/>
      <c r="CG8" s="38"/>
      <c r="CH8" s="38"/>
      <c r="CI8" s="38"/>
      <c r="CJ8" s="38"/>
      <c r="CK8" s="38"/>
      <c r="CL8" s="38"/>
    </row>
    <row r="9" spans="1:90" s="59" customFormat="1">
      <c r="A9" s="46" t="str">
        <f t="shared" si="4"/>
        <v>3805564513-8/17</v>
      </c>
      <c r="B9" s="58" t="s">
        <v>302</v>
      </c>
      <c r="C9" s="46" t="s">
        <v>303</v>
      </c>
      <c r="D9" s="48" t="s">
        <v>304</v>
      </c>
      <c r="E9" s="38"/>
      <c r="F9" s="46" t="str">
        <f t="shared" si="5"/>
        <v>3805564513-8/17</v>
      </c>
      <c r="G9" s="38"/>
      <c r="H9" s="58" t="s">
        <v>305</v>
      </c>
      <c r="I9" s="46" t="s">
        <v>319</v>
      </c>
      <c r="J9" s="49" t="s">
        <v>307</v>
      </c>
      <c r="K9" s="46" t="s">
        <v>308</v>
      </c>
      <c r="L9" s="50" t="str">
        <f t="shared" si="6"/>
        <v>BCNL-IN-Đen-Adult M-3805564513-8/17</v>
      </c>
      <c r="M9" s="49" t="s">
        <v>309</v>
      </c>
      <c r="N9" s="51" t="s">
        <v>310</v>
      </c>
      <c r="O9" s="46" t="s">
        <v>311</v>
      </c>
      <c r="P9" s="52" t="str">
        <f t="shared" si="7"/>
        <v>3805564513-8/17</v>
      </c>
      <c r="Q9" s="51">
        <v>1</v>
      </c>
      <c r="R9" s="46" t="s">
        <v>312</v>
      </c>
      <c r="S9" s="46" t="s">
        <v>313</v>
      </c>
      <c r="T9" s="46" t="s">
        <v>314</v>
      </c>
      <c r="U9" s="46" t="s">
        <v>315</v>
      </c>
      <c r="V9" s="51" t="s">
        <v>316</v>
      </c>
      <c r="W9" s="46" t="s">
        <v>56</v>
      </c>
      <c r="X9" s="38"/>
      <c r="Y9" s="38"/>
      <c r="Z9" s="51" t="s">
        <v>317</v>
      </c>
      <c r="AA9" s="38"/>
      <c r="AB9" s="38"/>
      <c r="AC9" s="38"/>
      <c r="AD9" s="38"/>
      <c r="AE9" s="38"/>
      <c r="AF9" s="38"/>
      <c r="AG9" s="38"/>
      <c r="AH9" s="38"/>
      <c r="AI9" s="38"/>
      <c r="AJ9" s="38"/>
      <c r="AK9" s="38"/>
      <c r="AL9" s="38"/>
      <c r="AM9" s="38"/>
      <c r="AN9" s="38"/>
      <c r="AO9" s="38"/>
      <c r="AP9" s="38"/>
      <c r="AQ9" s="38"/>
      <c r="AR9" s="38"/>
      <c r="AS9" s="38"/>
      <c r="AT9" s="38"/>
      <c r="AU9" s="38"/>
      <c r="AV9" s="38"/>
      <c r="AW9" s="38"/>
      <c r="AX9" s="38"/>
      <c r="AY9" s="38"/>
      <c r="AZ9" s="38"/>
      <c r="BA9" s="38"/>
      <c r="BB9" s="38"/>
      <c r="BC9" s="38"/>
      <c r="BD9" s="38"/>
      <c r="BE9" s="38"/>
      <c r="BF9" s="38"/>
      <c r="BG9" s="38"/>
      <c r="BH9" s="38"/>
      <c r="BI9" s="38"/>
      <c r="BJ9" s="38"/>
      <c r="BK9" s="38"/>
      <c r="BL9" s="38"/>
      <c r="BM9" s="38"/>
      <c r="BN9" s="38"/>
      <c r="BO9" s="38"/>
      <c r="BP9" s="38"/>
      <c r="BQ9" s="38"/>
      <c r="BR9" s="38"/>
      <c r="BS9" s="38"/>
      <c r="BT9" s="38"/>
      <c r="BU9" s="38"/>
      <c r="BV9" s="38"/>
      <c r="BW9" s="38"/>
      <c r="BX9" s="38"/>
      <c r="BY9" s="38"/>
      <c r="BZ9" s="38"/>
      <c r="CA9" s="38"/>
      <c r="CB9" s="38"/>
      <c r="CC9" s="38"/>
      <c r="CD9" s="38"/>
      <c r="CE9" s="38"/>
      <c r="CF9" s="38"/>
      <c r="CG9" s="38"/>
      <c r="CH9" s="38"/>
      <c r="CI9" s="38"/>
      <c r="CJ9" s="38"/>
      <c r="CK9" s="38"/>
      <c r="CL9" s="38"/>
    </row>
    <row r="10" spans="1:90" s="59" customFormat="1">
      <c r="A10" s="46" t="str">
        <f t="shared" si="4"/>
        <v>3805564513-9/17</v>
      </c>
      <c r="B10" s="58" t="s">
        <v>302</v>
      </c>
      <c r="C10" s="46" t="s">
        <v>303</v>
      </c>
      <c r="D10" s="48" t="s">
        <v>304</v>
      </c>
      <c r="E10" s="38"/>
      <c r="F10" s="46" t="str">
        <f t="shared" si="5"/>
        <v>3805564513-9/17</v>
      </c>
      <c r="G10" s="38"/>
      <c r="H10" s="58" t="s">
        <v>305</v>
      </c>
      <c r="I10" s="58" t="s">
        <v>320</v>
      </c>
      <c r="J10" s="49" t="s">
        <v>307</v>
      </c>
      <c r="K10" s="46" t="s">
        <v>308</v>
      </c>
      <c r="L10" s="50" t="str">
        <f t="shared" si="6"/>
        <v>BCNL-IN-Đen-Adult M-3805564513-9/17</v>
      </c>
      <c r="M10" s="49" t="s">
        <v>309</v>
      </c>
      <c r="N10" s="51" t="s">
        <v>310</v>
      </c>
      <c r="O10" s="46" t="s">
        <v>311</v>
      </c>
      <c r="P10" s="52" t="str">
        <f t="shared" si="7"/>
        <v>3805564513-9/17</v>
      </c>
      <c r="Q10" s="51">
        <v>1</v>
      </c>
      <c r="R10" s="46" t="s">
        <v>312</v>
      </c>
      <c r="S10" s="46" t="s">
        <v>313</v>
      </c>
      <c r="T10" s="46" t="s">
        <v>314</v>
      </c>
      <c r="U10" s="46" t="s">
        <v>315</v>
      </c>
      <c r="V10" s="51" t="s">
        <v>316</v>
      </c>
      <c r="W10" s="46" t="s">
        <v>56</v>
      </c>
      <c r="X10" s="38"/>
      <c r="Y10" s="38"/>
      <c r="Z10" s="51" t="s">
        <v>317</v>
      </c>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38"/>
      <c r="AY10" s="38"/>
      <c r="AZ10" s="38"/>
      <c r="BA10" s="38"/>
      <c r="BB10" s="38"/>
      <c r="BC10" s="38"/>
      <c r="BD10" s="38"/>
      <c r="BE10" s="38"/>
      <c r="BF10" s="38"/>
      <c r="BG10" s="38"/>
      <c r="BH10" s="38"/>
      <c r="BI10" s="38"/>
      <c r="BJ10" s="38"/>
      <c r="BK10" s="38"/>
      <c r="BL10" s="38"/>
      <c r="BM10" s="38"/>
      <c r="BN10" s="38"/>
      <c r="BO10" s="38"/>
      <c r="BP10" s="38"/>
      <c r="BQ10" s="38"/>
      <c r="BR10" s="38"/>
      <c r="BS10" s="38"/>
      <c r="BT10" s="38"/>
      <c r="BU10" s="38"/>
      <c r="BV10" s="38"/>
      <c r="BW10" s="38"/>
      <c r="BX10" s="38"/>
      <c r="BY10" s="38"/>
      <c r="BZ10" s="38"/>
      <c r="CA10" s="38"/>
      <c r="CB10" s="38"/>
      <c r="CC10" s="38"/>
      <c r="CD10" s="38"/>
      <c r="CE10" s="38"/>
      <c r="CF10" s="38"/>
      <c r="CG10" s="38"/>
      <c r="CH10" s="38"/>
      <c r="CI10" s="38"/>
      <c r="CJ10" s="38"/>
      <c r="CK10" s="38"/>
      <c r="CL10" s="38"/>
    </row>
    <row r="11" spans="1:90" s="59" customFormat="1">
      <c r="A11" s="46" t="str">
        <f t="shared" si="4"/>
        <v>3805564513-10/17</v>
      </c>
      <c r="B11" s="58" t="s">
        <v>302</v>
      </c>
      <c r="C11" s="46" t="s">
        <v>303</v>
      </c>
      <c r="D11" s="48" t="s">
        <v>304</v>
      </c>
      <c r="E11" s="38"/>
      <c r="F11" s="46" t="str">
        <f t="shared" si="5"/>
        <v>3805564513-10/17</v>
      </c>
      <c r="G11" s="38"/>
      <c r="H11" s="58" t="s">
        <v>305</v>
      </c>
      <c r="J11" s="49" t="s">
        <v>307</v>
      </c>
      <c r="K11" s="46" t="s">
        <v>308</v>
      </c>
      <c r="L11" s="50" t="str">
        <f t="shared" si="6"/>
        <v>BCNL-IN-Đen-Adult M-3805564513-10/17</v>
      </c>
      <c r="M11" s="49" t="s">
        <v>309</v>
      </c>
      <c r="N11" s="51" t="s">
        <v>310</v>
      </c>
      <c r="O11" s="46" t="s">
        <v>311</v>
      </c>
      <c r="P11" s="52" t="str">
        <f t="shared" si="7"/>
        <v>3805564513-10/17</v>
      </c>
      <c r="Q11" s="51">
        <v>1</v>
      </c>
      <c r="R11" s="46" t="s">
        <v>312</v>
      </c>
      <c r="S11" s="46" t="s">
        <v>313</v>
      </c>
      <c r="T11" s="46" t="s">
        <v>314</v>
      </c>
      <c r="U11" s="46" t="s">
        <v>315</v>
      </c>
      <c r="V11" s="51" t="s">
        <v>316</v>
      </c>
      <c r="W11" s="46" t="s">
        <v>56</v>
      </c>
      <c r="X11" s="38"/>
      <c r="Y11" s="38"/>
      <c r="Z11" s="51" t="s">
        <v>317</v>
      </c>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38"/>
      <c r="AY11" s="38"/>
      <c r="AZ11" s="38"/>
      <c r="BA11" s="38"/>
      <c r="BB11" s="38"/>
      <c r="BC11" s="38"/>
      <c r="BD11" s="38"/>
      <c r="BE11" s="38"/>
      <c r="BF11" s="38"/>
      <c r="BG11" s="38"/>
      <c r="BH11" s="38"/>
      <c r="BI11" s="38"/>
      <c r="BJ11" s="38"/>
      <c r="BK11" s="38"/>
      <c r="BL11" s="38"/>
      <c r="BM11" s="38"/>
      <c r="BN11" s="38"/>
      <c r="BO11" s="38"/>
      <c r="BP11" s="38"/>
      <c r="BQ11" s="38"/>
      <c r="BR11" s="38"/>
      <c r="BS11" s="38"/>
      <c r="BT11" s="38"/>
      <c r="BU11" s="38"/>
      <c r="BV11" s="38"/>
      <c r="BW11" s="38"/>
      <c r="BX11" s="38"/>
      <c r="BY11" s="38"/>
      <c r="BZ11" s="38"/>
      <c r="CA11" s="38"/>
      <c r="CB11" s="38"/>
      <c r="CC11" s="38"/>
      <c r="CD11" s="38"/>
      <c r="CE11" s="38"/>
      <c r="CF11" s="38"/>
      <c r="CG11" s="38"/>
      <c r="CH11" s="38"/>
      <c r="CI11" s="38"/>
      <c r="CJ11" s="38"/>
      <c r="CK11" s="38"/>
      <c r="CL11" s="38"/>
    </row>
    <row r="12" spans="1:90" s="59" customFormat="1">
      <c r="A12" s="46" t="str">
        <f t="shared" si="4"/>
        <v>3805564513-11/17</v>
      </c>
      <c r="B12" s="58" t="s">
        <v>302</v>
      </c>
      <c r="C12" s="46" t="s">
        <v>303</v>
      </c>
      <c r="D12" s="48" t="s">
        <v>304</v>
      </c>
      <c r="E12" s="38"/>
      <c r="F12" s="46" t="str">
        <f t="shared" si="5"/>
        <v>3805564513-11/17</v>
      </c>
      <c r="G12" s="38"/>
      <c r="H12" s="58" t="s">
        <v>305</v>
      </c>
      <c r="J12" s="49" t="s">
        <v>307</v>
      </c>
      <c r="K12" s="46" t="s">
        <v>308</v>
      </c>
      <c r="L12" s="50" t="str">
        <f t="shared" si="6"/>
        <v>BCNL-IN-Đen-Adult M-3805564513-11/17</v>
      </c>
      <c r="M12" s="49" t="s">
        <v>309</v>
      </c>
      <c r="N12" s="51" t="s">
        <v>310</v>
      </c>
      <c r="O12" s="46" t="s">
        <v>311</v>
      </c>
      <c r="P12" s="52" t="str">
        <f t="shared" si="7"/>
        <v>3805564513-11/17</v>
      </c>
      <c r="Q12" s="51">
        <v>1</v>
      </c>
      <c r="R12" s="46" t="s">
        <v>312</v>
      </c>
      <c r="S12" s="46" t="s">
        <v>313</v>
      </c>
      <c r="T12" s="46" t="s">
        <v>314</v>
      </c>
      <c r="U12" s="46" t="s">
        <v>315</v>
      </c>
      <c r="V12" s="51" t="s">
        <v>316</v>
      </c>
      <c r="W12" s="46" t="s">
        <v>56</v>
      </c>
      <c r="X12" s="38"/>
      <c r="Y12" s="38"/>
      <c r="Z12" s="51" t="s">
        <v>317</v>
      </c>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BO12" s="38"/>
      <c r="BP12" s="38"/>
      <c r="BQ12" s="38"/>
      <c r="BR12" s="38"/>
      <c r="BS12" s="38"/>
      <c r="BT12" s="38"/>
      <c r="BU12" s="38"/>
      <c r="BV12" s="38"/>
      <c r="BW12" s="38"/>
      <c r="BX12" s="38"/>
      <c r="BY12" s="38"/>
      <c r="BZ12" s="38"/>
      <c r="CA12" s="38"/>
      <c r="CB12" s="38"/>
      <c r="CC12" s="38"/>
      <c r="CD12" s="38"/>
      <c r="CE12" s="38"/>
      <c r="CF12" s="38"/>
      <c r="CG12" s="38"/>
      <c r="CH12" s="38"/>
      <c r="CI12" s="38"/>
      <c r="CJ12" s="38"/>
      <c r="CK12" s="38"/>
      <c r="CL12" s="38"/>
    </row>
    <row r="13" spans="1:90" s="59" customFormat="1">
      <c r="A13" s="46" t="str">
        <f t="shared" si="4"/>
        <v>3805564513-12/17</v>
      </c>
      <c r="B13" s="58" t="s">
        <v>302</v>
      </c>
      <c r="C13" s="46" t="s">
        <v>303</v>
      </c>
      <c r="D13" s="48" t="s">
        <v>304</v>
      </c>
      <c r="E13" s="38"/>
      <c r="F13" s="46" t="str">
        <f t="shared" si="5"/>
        <v>3805564513-12/17</v>
      </c>
      <c r="G13" s="38"/>
      <c r="H13" s="58" t="s">
        <v>305</v>
      </c>
      <c r="J13" s="49" t="s">
        <v>307</v>
      </c>
      <c r="K13" s="46" t="s">
        <v>308</v>
      </c>
      <c r="L13" s="50" t="str">
        <f t="shared" si="6"/>
        <v>BCNL-IN-Đen-Adult M-3805564513-12/17</v>
      </c>
      <c r="M13" s="49" t="s">
        <v>309</v>
      </c>
      <c r="N13" s="51" t="s">
        <v>310</v>
      </c>
      <c r="O13" s="46" t="s">
        <v>311</v>
      </c>
      <c r="P13" s="52" t="str">
        <f t="shared" si="7"/>
        <v>3805564513-12/17</v>
      </c>
      <c r="Q13" s="51">
        <v>1</v>
      </c>
      <c r="R13" s="46" t="s">
        <v>312</v>
      </c>
      <c r="S13" s="46" t="s">
        <v>313</v>
      </c>
      <c r="T13" s="46" t="s">
        <v>314</v>
      </c>
      <c r="U13" s="46" t="s">
        <v>315</v>
      </c>
      <c r="V13" s="51" t="s">
        <v>316</v>
      </c>
      <c r="W13" s="46" t="s">
        <v>56</v>
      </c>
      <c r="X13" s="38"/>
      <c r="Y13" s="38"/>
      <c r="Z13" s="51" t="s">
        <v>317</v>
      </c>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38"/>
      <c r="AY13" s="38"/>
      <c r="AZ13" s="38"/>
      <c r="BA13" s="38"/>
      <c r="BB13" s="38"/>
      <c r="BC13" s="38"/>
      <c r="BD13" s="38"/>
      <c r="BE13" s="38"/>
      <c r="BF13" s="38"/>
      <c r="BG13" s="38"/>
      <c r="BH13" s="38"/>
      <c r="BI13" s="38"/>
      <c r="BJ13" s="38"/>
      <c r="BK13" s="38"/>
      <c r="BL13" s="38"/>
      <c r="BM13" s="38"/>
      <c r="BN13" s="38"/>
      <c r="BO13" s="38"/>
      <c r="BP13" s="38"/>
      <c r="BQ13" s="38"/>
      <c r="BR13" s="38"/>
      <c r="BS13" s="38"/>
      <c r="BT13" s="38"/>
      <c r="BU13" s="38"/>
      <c r="BV13" s="38"/>
      <c r="BW13" s="38"/>
      <c r="BX13" s="38"/>
      <c r="BY13" s="38"/>
      <c r="BZ13" s="38"/>
      <c r="CA13" s="38"/>
      <c r="CB13" s="38"/>
      <c r="CC13" s="38"/>
      <c r="CD13" s="38"/>
      <c r="CE13" s="38"/>
      <c r="CF13" s="38"/>
      <c r="CG13" s="38"/>
      <c r="CH13" s="38"/>
      <c r="CI13" s="38"/>
      <c r="CJ13" s="38"/>
      <c r="CK13" s="38"/>
      <c r="CL13" s="38"/>
    </row>
    <row r="14" spans="1:90" s="59" customFormat="1">
      <c r="A14" s="46" t="str">
        <f t="shared" si="4"/>
        <v>3805564513-13/17</v>
      </c>
      <c r="B14" s="58" t="s">
        <v>302</v>
      </c>
      <c r="C14" s="46" t="s">
        <v>303</v>
      </c>
      <c r="D14" s="48" t="s">
        <v>304</v>
      </c>
      <c r="E14" s="38"/>
      <c r="F14" s="46" t="str">
        <f t="shared" si="5"/>
        <v>3805564513-13/17</v>
      </c>
      <c r="G14" s="38"/>
      <c r="H14" s="58" t="s">
        <v>305</v>
      </c>
      <c r="J14" s="49" t="s">
        <v>307</v>
      </c>
      <c r="K14" s="46" t="s">
        <v>308</v>
      </c>
      <c r="L14" s="50" t="str">
        <f t="shared" si="6"/>
        <v>BCNL-IN-Đen-Adult M-3805564513-13/17</v>
      </c>
      <c r="M14" s="49" t="s">
        <v>309</v>
      </c>
      <c r="N14" s="51" t="s">
        <v>310</v>
      </c>
      <c r="O14" s="46" t="s">
        <v>311</v>
      </c>
      <c r="P14" s="52" t="str">
        <f t="shared" si="7"/>
        <v>3805564513-13/17</v>
      </c>
      <c r="Q14" s="51">
        <v>1</v>
      </c>
      <c r="R14" s="46" t="s">
        <v>312</v>
      </c>
      <c r="S14" s="46" t="s">
        <v>313</v>
      </c>
      <c r="T14" s="46" t="s">
        <v>314</v>
      </c>
      <c r="U14" s="46" t="s">
        <v>315</v>
      </c>
      <c r="V14" s="51" t="s">
        <v>316</v>
      </c>
      <c r="W14" s="46" t="s">
        <v>56</v>
      </c>
      <c r="X14" s="38"/>
      <c r="Y14" s="38"/>
      <c r="Z14" s="51" t="s">
        <v>317</v>
      </c>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38"/>
      <c r="AY14" s="38"/>
      <c r="AZ14" s="38"/>
      <c r="BA14" s="38"/>
      <c r="BB14" s="38"/>
      <c r="BC14" s="38"/>
      <c r="BD14" s="38"/>
      <c r="BE14" s="38"/>
      <c r="BF14" s="38"/>
      <c r="BG14" s="38"/>
      <c r="BH14" s="38"/>
      <c r="BI14" s="38"/>
      <c r="BJ14" s="38"/>
      <c r="BK14" s="38"/>
      <c r="BL14" s="38"/>
      <c r="BM14" s="38"/>
      <c r="BN14" s="38"/>
      <c r="BO14" s="38"/>
      <c r="BP14" s="38"/>
      <c r="BQ14" s="38"/>
      <c r="BR14" s="38"/>
      <c r="BS14" s="38"/>
      <c r="BT14" s="38"/>
      <c r="BU14" s="38"/>
      <c r="BV14" s="38"/>
      <c r="BW14" s="38"/>
      <c r="BX14" s="38"/>
      <c r="BY14" s="38"/>
      <c r="BZ14" s="38"/>
      <c r="CA14" s="38"/>
      <c r="CB14" s="38"/>
      <c r="CC14" s="38"/>
      <c r="CD14" s="38"/>
      <c r="CE14" s="38"/>
      <c r="CF14" s="38"/>
      <c r="CG14" s="38"/>
      <c r="CH14" s="38"/>
      <c r="CI14" s="38"/>
      <c r="CJ14" s="38"/>
      <c r="CK14" s="38"/>
      <c r="CL14" s="38"/>
    </row>
    <row r="15" spans="1:90" s="59" customFormat="1">
      <c r="A15" s="46" t="str">
        <f t="shared" si="4"/>
        <v>3805564513-14/17</v>
      </c>
      <c r="B15" s="58" t="s">
        <v>302</v>
      </c>
      <c r="C15" s="46" t="s">
        <v>303</v>
      </c>
      <c r="D15" s="48" t="s">
        <v>304</v>
      </c>
      <c r="E15" s="38"/>
      <c r="F15" s="46" t="str">
        <f t="shared" si="5"/>
        <v>3805564513-14/17</v>
      </c>
      <c r="G15" s="38"/>
      <c r="H15" s="58" t="s">
        <v>305</v>
      </c>
      <c r="I15" s="46" t="s">
        <v>319</v>
      </c>
      <c r="J15" s="49" t="s">
        <v>307</v>
      </c>
      <c r="K15" s="46" t="s">
        <v>308</v>
      </c>
      <c r="L15" s="50" t="str">
        <f t="shared" si="6"/>
        <v>BCNL-IN-Đen-Adult M-3805564513-14/17</v>
      </c>
      <c r="M15" s="49" t="s">
        <v>309</v>
      </c>
      <c r="N15" s="51" t="s">
        <v>310</v>
      </c>
      <c r="O15" s="46" t="s">
        <v>311</v>
      </c>
      <c r="P15" s="52" t="str">
        <f t="shared" si="7"/>
        <v>3805564513-14/17</v>
      </c>
      <c r="Q15" s="51">
        <v>1</v>
      </c>
      <c r="R15" s="46" t="s">
        <v>312</v>
      </c>
      <c r="S15" s="46" t="s">
        <v>313</v>
      </c>
      <c r="T15" s="46" t="s">
        <v>314</v>
      </c>
      <c r="U15" s="46" t="s">
        <v>315</v>
      </c>
      <c r="V15" s="51" t="s">
        <v>316</v>
      </c>
      <c r="W15" s="46" t="s">
        <v>56</v>
      </c>
      <c r="X15" s="38"/>
      <c r="Y15" s="38"/>
      <c r="Z15" s="51" t="s">
        <v>317</v>
      </c>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38"/>
      <c r="BB15" s="38"/>
      <c r="BC15" s="38"/>
      <c r="BD15" s="38"/>
      <c r="BE15" s="38"/>
      <c r="BF15" s="38"/>
      <c r="BG15" s="38"/>
      <c r="BH15" s="38"/>
      <c r="BI15" s="38"/>
      <c r="BJ15" s="38"/>
      <c r="BK15" s="38"/>
      <c r="BL15" s="38"/>
      <c r="BM15" s="38"/>
      <c r="BN15" s="38"/>
      <c r="BO15" s="38"/>
      <c r="BP15" s="38"/>
      <c r="BQ15" s="38"/>
      <c r="BR15" s="38"/>
      <c r="BS15" s="38"/>
      <c r="BT15" s="38"/>
      <c r="BU15" s="38"/>
      <c r="BV15" s="38"/>
      <c r="BW15" s="38"/>
      <c r="BX15" s="38"/>
      <c r="BY15" s="38"/>
      <c r="BZ15" s="38"/>
      <c r="CA15" s="38"/>
      <c r="CB15" s="38"/>
      <c r="CC15" s="38"/>
      <c r="CD15" s="38"/>
      <c r="CE15" s="38"/>
      <c r="CF15" s="38"/>
      <c r="CG15" s="38"/>
      <c r="CH15" s="38"/>
      <c r="CI15" s="38"/>
      <c r="CJ15" s="38"/>
      <c r="CK15" s="38"/>
      <c r="CL15" s="38"/>
    </row>
    <row r="16" spans="1:90" s="59" customFormat="1">
      <c r="A16" s="46" t="str">
        <f t="shared" si="4"/>
        <v>3805564513-15/17</v>
      </c>
      <c r="B16" s="58" t="s">
        <v>302</v>
      </c>
      <c r="C16" s="46" t="s">
        <v>303</v>
      </c>
      <c r="D16" s="48" t="s">
        <v>304</v>
      </c>
      <c r="E16" s="38"/>
      <c r="F16" s="46" t="str">
        <f t="shared" si="5"/>
        <v>3805564513-15/17</v>
      </c>
      <c r="G16" s="38"/>
      <c r="H16" s="58" t="s">
        <v>305</v>
      </c>
      <c r="I16" s="38"/>
      <c r="J16" s="49" t="s">
        <v>307</v>
      </c>
      <c r="K16" s="46" t="s">
        <v>308</v>
      </c>
      <c r="L16" s="50" t="str">
        <f t="shared" si="6"/>
        <v>BCNL-IN-Đen-Adult M-3805564513-15/17</v>
      </c>
      <c r="M16" s="49" t="s">
        <v>309</v>
      </c>
      <c r="N16" s="51" t="s">
        <v>310</v>
      </c>
      <c r="O16" s="46" t="s">
        <v>311</v>
      </c>
      <c r="P16" s="52" t="str">
        <f t="shared" si="7"/>
        <v>3805564513-15/17</v>
      </c>
      <c r="Q16" s="51">
        <v>1</v>
      </c>
      <c r="R16" s="46" t="s">
        <v>312</v>
      </c>
      <c r="S16" s="46" t="s">
        <v>313</v>
      </c>
      <c r="T16" s="46" t="s">
        <v>314</v>
      </c>
      <c r="U16" s="46" t="s">
        <v>315</v>
      </c>
      <c r="V16" s="51" t="s">
        <v>316</v>
      </c>
      <c r="W16" s="46" t="s">
        <v>56</v>
      </c>
      <c r="X16" s="38"/>
      <c r="Y16" s="38"/>
      <c r="Z16" s="51" t="s">
        <v>317</v>
      </c>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38"/>
      <c r="BB16" s="38"/>
      <c r="BC16" s="38"/>
      <c r="BD16" s="38"/>
      <c r="BE16" s="38"/>
      <c r="BF16" s="38"/>
      <c r="BG16" s="38"/>
      <c r="BH16" s="38"/>
      <c r="BI16" s="38"/>
      <c r="BJ16" s="38"/>
      <c r="BK16" s="38"/>
      <c r="BL16" s="38"/>
      <c r="BM16" s="38"/>
      <c r="BN16" s="38"/>
      <c r="BO16" s="38"/>
      <c r="BP16" s="38"/>
      <c r="BQ16" s="38"/>
      <c r="BR16" s="38"/>
      <c r="BS16" s="38"/>
      <c r="BT16" s="38"/>
      <c r="BU16" s="38"/>
      <c r="BV16" s="38"/>
      <c r="BW16" s="38"/>
      <c r="BX16" s="38"/>
      <c r="BY16" s="38"/>
      <c r="BZ16" s="38"/>
      <c r="CA16" s="38"/>
      <c r="CB16" s="38"/>
      <c r="CC16" s="38"/>
      <c r="CD16" s="38"/>
      <c r="CE16" s="38"/>
      <c r="CF16" s="38"/>
      <c r="CG16" s="38"/>
      <c r="CH16" s="38"/>
      <c r="CI16" s="38"/>
      <c r="CJ16" s="38"/>
      <c r="CK16" s="38"/>
      <c r="CL16" s="38"/>
    </row>
    <row r="17" spans="1:90" s="59" customFormat="1">
      <c r="A17" s="46" t="str">
        <f t="shared" si="4"/>
        <v>3805564513-16/17</v>
      </c>
      <c r="B17" s="58" t="s">
        <v>302</v>
      </c>
      <c r="C17" s="46" t="s">
        <v>303</v>
      </c>
      <c r="D17" s="48" t="s">
        <v>304</v>
      </c>
      <c r="E17" s="38"/>
      <c r="F17" s="46" t="str">
        <f t="shared" si="5"/>
        <v>3805564513-16/17</v>
      </c>
      <c r="G17" s="38"/>
      <c r="H17" s="58" t="s">
        <v>305</v>
      </c>
      <c r="I17" s="58" t="s">
        <v>321</v>
      </c>
      <c r="J17" s="49" t="s">
        <v>307</v>
      </c>
      <c r="K17" s="46" t="s">
        <v>308</v>
      </c>
      <c r="L17" s="50" t="str">
        <f t="shared" si="6"/>
        <v>BCNL-IN-Đen-Adult M-3805564513-16/17</v>
      </c>
      <c r="M17" s="49" t="s">
        <v>309</v>
      </c>
      <c r="N17" s="51" t="s">
        <v>310</v>
      </c>
      <c r="O17" s="46" t="s">
        <v>311</v>
      </c>
      <c r="P17" s="52" t="str">
        <f t="shared" si="7"/>
        <v>3805564513-16/17</v>
      </c>
      <c r="Q17" s="51">
        <v>1</v>
      </c>
      <c r="R17" s="46" t="s">
        <v>312</v>
      </c>
      <c r="S17" s="46" t="s">
        <v>313</v>
      </c>
      <c r="T17" s="46" t="s">
        <v>314</v>
      </c>
      <c r="U17" s="46" t="s">
        <v>315</v>
      </c>
      <c r="V17" s="51" t="s">
        <v>316</v>
      </c>
      <c r="W17" s="46" t="s">
        <v>56</v>
      </c>
      <c r="X17" s="38"/>
      <c r="Y17" s="38"/>
      <c r="Z17" s="51" t="s">
        <v>317</v>
      </c>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38"/>
      <c r="BB17" s="38"/>
      <c r="BC17" s="38"/>
      <c r="BD17" s="38"/>
      <c r="BE17" s="38"/>
      <c r="BF17" s="38"/>
      <c r="BG17" s="38"/>
      <c r="BH17" s="38"/>
      <c r="BI17" s="38"/>
      <c r="BJ17" s="38"/>
      <c r="BK17" s="38"/>
      <c r="BL17" s="38"/>
      <c r="BM17" s="38"/>
      <c r="BN17" s="38"/>
      <c r="BO17" s="38"/>
      <c r="BP17" s="38"/>
      <c r="BQ17" s="38"/>
      <c r="BR17" s="38"/>
      <c r="BS17" s="38"/>
      <c r="BT17" s="38"/>
      <c r="BU17" s="38"/>
      <c r="BV17" s="38"/>
      <c r="BW17" s="38"/>
      <c r="BX17" s="38"/>
      <c r="BY17" s="38"/>
      <c r="BZ17" s="38"/>
      <c r="CA17" s="38"/>
      <c r="CB17" s="38"/>
      <c r="CC17" s="38"/>
      <c r="CD17" s="38"/>
      <c r="CE17" s="38"/>
      <c r="CF17" s="38"/>
      <c r="CG17" s="38"/>
      <c r="CH17" s="38"/>
      <c r="CI17" s="38"/>
      <c r="CJ17" s="38"/>
      <c r="CK17" s="38"/>
      <c r="CL17" s="38"/>
    </row>
    <row r="18" spans="1:90" s="59" customFormat="1">
      <c r="A18" s="46" t="str">
        <f t="shared" si="4"/>
        <v>3805564513-17/17</v>
      </c>
      <c r="B18" s="58" t="s">
        <v>302</v>
      </c>
      <c r="C18" s="46" t="s">
        <v>303</v>
      </c>
      <c r="D18" s="48" t="s">
        <v>304</v>
      </c>
      <c r="E18" s="38"/>
      <c r="F18" s="46" t="str">
        <f t="shared" si="5"/>
        <v>3805564513-17/17</v>
      </c>
      <c r="G18" s="38"/>
      <c r="H18" s="58" t="s">
        <v>305</v>
      </c>
      <c r="J18" s="49" t="s">
        <v>307</v>
      </c>
      <c r="K18" s="46" t="s">
        <v>308</v>
      </c>
      <c r="L18" s="50" t="str">
        <f t="shared" si="6"/>
        <v>BCNL-IN-Đen-Adult M-3805564513-17/17</v>
      </c>
      <c r="M18" s="49" t="s">
        <v>309</v>
      </c>
      <c r="N18" s="51" t="s">
        <v>310</v>
      </c>
      <c r="O18" s="46" t="s">
        <v>311</v>
      </c>
      <c r="P18" s="52" t="str">
        <f t="shared" si="7"/>
        <v>3805564513-17/17</v>
      </c>
      <c r="Q18" s="51">
        <v>1</v>
      </c>
      <c r="R18" s="46" t="s">
        <v>312</v>
      </c>
      <c r="S18" s="46" t="s">
        <v>313</v>
      </c>
      <c r="T18" s="46" t="s">
        <v>314</v>
      </c>
      <c r="U18" s="46" t="s">
        <v>315</v>
      </c>
      <c r="V18" s="51" t="s">
        <v>316</v>
      </c>
      <c r="W18" s="46" t="s">
        <v>56</v>
      </c>
      <c r="X18" s="38"/>
      <c r="Y18" s="38"/>
      <c r="Z18" s="51" t="s">
        <v>317</v>
      </c>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38"/>
      <c r="AY18" s="38"/>
      <c r="AZ18" s="38"/>
      <c r="BA18" s="38"/>
      <c r="BB18" s="38"/>
      <c r="BC18" s="38"/>
      <c r="BD18" s="38"/>
      <c r="BE18" s="38"/>
      <c r="BF18" s="38"/>
      <c r="BG18" s="38"/>
      <c r="BH18" s="38"/>
      <c r="BI18" s="38"/>
      <c r="BJ18" s="38"/>
      <c r="BK18" s="38"/>
      <c r="BL18" s="38"/>
      <c r="BM18" s="38"/>
      <c r="BN18" s="38"/>
      <c r="BO18" s="38"/>
      <c r="BP18" s="38"/>
      <c r="BQ18" s="38"/>
      <c r="BR18" s="38"/>
      <c r="BS18" s="38"/>
      <c r="BT18" s="38"/>
      <c r="BU18" s="38"/>
      <c r="BV18" s="38"/>
      <c r="BW18" s="38"/>
      <c r="BX18" s="38"/>
      <c r="BY18" s="38"/>
      <c r="BZ18" s="38"/>
      <c r="CA18" s="38"/>
      <c r="CB18" s="38"/>
      <c r="CC18" s="38"/>
      <c r="CD18" s="38"/>
      <c r="CE18" s="38"/>
      <c r="CF18" s="38"/>
      <c r="CG18" s="38"/>
      <c r="CH18" s="38"/>
      <c r="CI18" s="38"/>
      <c r="CJ18" s="38"/>
      <c r="CK18" s="38"/>
      <c r="CL18" s="38"/>
    </row>
    <row r="19" spans="1:90">
      <c r="D19" s="53" t="s">
        <v>304</v>
      </c>
      <c r="H19" s="47" t="s">
        <v>322</v>
      </c>
      <c r="J19" s="54"/>
      <c r="L19" s="54"/>
      <c r="M19" s="54"/>
    </row>
    <row r="20" spans="1:90">
      <c r="D20" s="54"/>
      <c r="H20" s="47" t="s">
        <v>323</v>
      </c>
      <c r="J20" s="54"/>
      <c r="L20" s="54"/>
      <c r="M20" s="54"/>
    </row>
    <row r="21" spans="1:90">
      <c r="D21" s="54"/>
      <c r="H21" s="47" t="s">
        <v>324</v>
      </c>
      <c r="J21" s="54"/>
      <c r="L21" s="54"/>
      <c r="M21" s="54"/>
    </row>
    <row r="22" spans="1:90">
      <c r="D22" s="54"/>
      <c r="H22" s="47" t="s">
        <v>325</v>
      </c>
      <c r="J22" s="54"/>
      <c r="L22" s="54"/>
      <c r="M22" s="54"/>
    </row>
    <row r="23" spans="1:90">
      <c r="D23" s="54"/>
      <c r="H23" s="47" t="s">
        <v>326</v>
      </c>
      <c r="J23" s="54"/>
      <c r="L23" s="54"/>
      <c r="M23" s="54"/>
    </row>
    <row r="24" spans="1:90">
      <c r="D24" s="54"/>
      <c r="H24" s="47" t="s">
        <v>327</v>
      </c>
      <c r="J24" s="54"/>
      <c r="L24" s="54"/>
      <c r="M24" s="54"/>
    </row>
    <row r="25" spans="1:90">
      <c r="D25" s="54"/>
      <c r="H25" s="47" t="s">
        <v>328</v>
      </c>
      <c r="J25" s="54"/>
      <c r="L25" s="54"/>
      <c r="M25" s="54"/>
    </row>
    <row r="26" spans="1:90">
      <c r="D26" s="54"/>
      <c r="H26" s="47" t="s">
        <v>329</v>
      </c>
      <c r="J26" s="54"/>
      <c r="L26" s="54"/>
      <c r="M26" s="54"/>
    </row>
    <row r="27" spans="1:90">
      <c r="D27" s="54"/>
      <c r="J27" s="54"/>
      <c r="L27" s="54"/>
      <c r="M27" s="54"/>
    </row>
    <row r="28" spans="1:90">
      <c r="D28" s="54"/>
      <c r="J28" s="54"/>
      <c r="L28" s="54"/>
      <c r="M28" s="54"/>
    </row>
    <row r="29" spans="1:90">
      <c r="D29" s="54"/>
      <c r="J29" s="54"/>
      <c r="L29" s="54"/>
      <c r="M29" s="54"/>
    </row>
    <row r="30" spans="1:90">
      <c r="D30" s="54"/>
      <c r="J30" s="54"/>
      <c r="L30" s="54"/>
      <c r="M30" s="54"/>
    </row>
    <row r="31" spans="1:90">
      <c r="D31" s="54"/>
      <c r="J31" s="54"/>
      <c r="L31" s="54"/>
      <c r="M31" s="54"/>
    </row>
    <row r="32" spans="1:90">
      <c r="D32" s="54"/>
      <c r="J32" s="54"/>
      <c r="L32" s="54"/>
      <c r="M32" s="54"/>
    </row>
    <row r="33" spans="4:13">
      <c r="D33" s="54"/>
      <c r="J33" s="54"/>
      <c r="L33" s="54"/>
      <c r="M33" s="54"/>
    </row>
    <row r="34" spans="4:13">
      <c r="D34" s="54"/>
      <c r="J34" s="54"/>
      <c r="L34" s="54"/>
      <c r="M34" s="54"/>
    </row>
    <row r="35" spans="4:13">
      <c r="D35" s="54"/>
      <c r="J35" s="54"/>
      <c r="L35" s="54"/>
      <c r="M35" s="54"/>
    </row>
    <row r="36" spans="4:13">
      <c r="D36" s="54"/>
      <c r="J36" s="54"/>
      <c r="L36" s="54"/>
      <c r="M36" s="54"/>
    </row>
    <row r="37" spans="4:13">
      <c r="D37" s="54"/>
      <c r="J37" s="54"/>
      <c r="L37" s="54"/>
      <c r="M37" s="54"/>
    </row>
    <row r="38" spans="4:13">
      <c r="D38" s="54"/>
      <c r="J38" s="54"/>
      <c r="L38" s="54"/>
      <c r="M38" s="54"/>
    </row>
    <row r="39" spans="4:13">
      <c r="D39" s="54"/>
      <c r="J39" s="54"/>
      <c r="L39" s="54"/>
      <c r="M39" s="54"/>
    </row>
    <row r="40" spans="4:13">
      <c r="D40" s="54"/>
      <c r="J40" s="54"/>
      <c r="L40" s="54"/>
      <c r="M40" s="54"/>
    </row>
    <row r="41" spans="4:13">
      <c r="D41" s="54"/>
      <c r="J41" s="54"/>
      <c r="L41" s="54"/>
      <c r="M41" s="54"/>
    </row>
    <row r="42" spans="4:13">
      <c r="D42" s="54"/>
      <c r="J42" s="54"/>
      <c r="L42" s="54"/>
      <c r="M42" s="54"/>
    </row>
    <row r="43" spans="4:13">
      <c r="D43" s="54"/>
      <c r="J43" s="54"/>
      <c r="L43" s="54"/>
      <c r="M43" s="54"/>
    </row>
    <row r="44" spans="4:13">
      <c r="D44" s="54"/>
      <c r="J44" s="54"/>
      <c r="L44" s="54"/>
      <c r="M44" s="54"/>
    </row>
    <row r="45" spans="4:13">
      <c r="D45" s="54"/>
      <c r="J45" s="54"/>
      <c r="L45" s="54"/>
      <c r="M45" s="54"/>
    </row>
    <row r="46" spans="4:13">
      <c r="D46" s="54"/>
      <c r="J46" s="54"/>
      <c r="L46" s="54"/>
      <c r="M46" s="54"/>
    </row>
    <row r="47" spans="4:13">
      <c r="D47" s="54"/>
      <c r="J47" s="54"/>
      <c r="L47" s="54"/>
      <c r="M47" s="54"/>
    </row>
    <row r="48" spans="4:13">
      <c r="D48" s="54"/>
      <c r="J48" s="54"/>
      <c r="L48" s="54"/>
      <c r="M48" s="54"/>
    </row>
    <row r="49" spans="4:13">
      <c r="D49" s="54"/>
      <c r="J49" s="54"/>
      <c r="L49" s="54"/>
      <c r="M49" s="54"/>
    </row>
    <row r="50" spans="4:13">
      <c r="D50" s="54"/>
      <c r="J50" s="54"/>
      <c r="L50" s="54"/>
      <c r="M50" s="54"/>
    </row>
    <row r="51" spans="4:13">
      <c r="D51" s="54"/>
      <c r="J51" s="54"/>
      <c r="L51" s="54"/>
      <c r="M51" s="54"/>
    </row>
    <row r="52" spans="4:13">
      <c r="D52" s="54"/>
      <c r="J52" s="54"/>
      <c r="L52" s="54"/>
      <c r="M52" s="54"/>
    </row>
    <row r="53" spans="4:13">
      <c r="D53" s="54"/>
      <c r="J53" s="54"/>
      <c r="L53" s="54"/>
      <c r="M53" s="54"/>
    </row>
    <row r="54" spans="4:13">
      <c r="D54" s="54"/>
      <c r="J54" s="54"/>
      <c r="L54" s="54"/>
      <c r="M54" s="54"/>
    </row>
    <row r="55" spans="4:13">
      <c r="D55" s="54"/>
      <c r="J55" s="54"/>
      <c r="L55" s="54"/>
      <c r="M55" s="54"/>
    </row>
    <row r="56" spans="4:13">
      <c r="D56" s="54"/>
      <c r="J56" s="54"/>
      <c r="L56" s="54"/>
      <c r="M56" s="54"/>
    </row>
    <row r="57" spans="4:13">
      <c r="D57" s="54"/>
      <c r="J57" s="54"/>
      <c r="L57" s="54"/>
      <c r="M57" s="54"/>
    </row>
    <row r="58" spans="4:13">
      <c r="D58" s="54"/>
      <c r="J58" s="54"/>
      <c r="L58" s="54"/>
      <c r="M58" s="54"/>
    </row>
    <row r="59" spans="4:13">
      <c r="D59" s="54"/>
      <c r="J59" s="54"/>
      <c r="L59" s="54"/>
      <c r="M59" s="54"/>
    </row>
    <row r="60" spans="4:13">
      <c r="D60" s="54"/>
      <c r="J60" s="54"/>
      <c r="L60" s="54"/>
      <c r="M60" s="54"/>
    </row>
    <row r="61" spans="4:13">
      <c r="D61" s="54"/>
      <c r="J61" s="54"/>
      <c r="L61" s="54"/>
      <c r="M61" s="54"/>
    </row>
    <row r="62" spans="4:13">
      <c r="D62" s="54"/>
      <c r="J62" s="54"/>
      <c r="L62" s="54"/>
      <c r="M62" s="54"/>
    </row>
    <row r="63" spans="4:13">
      <c r="D63" s="54"/>
      <c r="J63" s="54"/>
      <c r="L63" s="54"/>
      <c r="M63" s="54"/>
    </row>
    <row r="64" spans="4:13">
      <c r="D64" s="54"/>
      <c r="J64" s="54"/>
      <c r="L64" s="54"/>
      <c r="M64" s="54"/>
    </row>
    <row r="65" spans="4:13">
      <c r="D65" s="54"/>
      <c r="J65" s="54"/>
      <c r="L65" s="54"/>
      <c r="M65" s="54"/>
    </row>
    <row r="66" spans="4:13">
      <c r="D66" s="54"/>
      <c r="J66" s="54"/>
      <c r="L66" s="54"/>
      <c r="M66" s="54"/>
    </row>
    <row r="67" spans="4:13">
      <c r="D67" s="54"/>
      <c r="J67" s="54"/>
      <c r="L67" s="54"/>
      <c r="M67" s="54"/>
    </row>
    <row r="68" spans="4:13">
      <c r="D68" s="54"/>
      <c r="J68" s="54"/>
      <c r="L68" s="54"/>
      <c r="M68" s="54"/>
    </row>
    <row r="69" spans="4:13">
      <c r="D69" s="54"/>
      <c r="J69" s="54"/>
      <c r="L69" s="54"/>
      <c r="M69" s="54"/>
    </row>
    <row r="70" spans="4:13">
      <c r="D70" s="54"/>
      <c r="J70" s="54"/>
      <c r="L70" s="54"/>
      <c r="M70" s="54"/>
    </row>
    <row r="71" spans="4:13">
      <c r="D71" s="54"/>
      <c r="J71" s="54"/>
      <c r="L71" s="54"/>
      <c r="M71" s="54"/>
    </row>
    <row r="72" spans="4:13">
      <c r="D72" s="54"/>
      <c r="J72" s="54"/>
      <c r="L72" s="54"/>
      <c r="M72" s="54"/>
    </row>
    <row r="73" spans="4:13">
      <c r="D73" s="54"/>
      <c r="J73" s="54"/>
      <c r="L73" s="54"/>
      <c r="M73" s="54"/>
    </row>
    <row r="74" spans="4:13">
      <c r="D74" s="54"/>
      <c r="J74" s="54"/>
      <c r="L74" s="54"/>
      <c r="M74" s="54"/>
    </row>
    <row r="75" spans="4:13">
      <c r="D75" s="54"/>
      <c r="J75" s="54"/>
      <c r="L75" s="54"/>
      <c r="M75" s="54"/>
    </row>
    <row r="76" spans="4:13">
      <c r="D76" s="54"/>
      <c r="J76" s="54"/>
      <c r="L76" s="54"/>
      <c r="M76" s="54"/>
    </row>
    <row r="77" spans="4:13">
      <c r="D77" s="54"/>
      <c r="J77" s="54"/>
      <c r="L77" s="54"/>
      <c r="M77" s="54"/>
    </row>
    <row r="78" spans="4:13">
      <c r="D78" s="54"/>
      <c r="J78" s="54"/>
      <c r="L78" s="54"/>
      <c r="M78" s="54"/>
    </row>
    <row r="79" spans="4:13">
      <c r="D79" s="54"/>
      <c r="J79" s="54"/>
      <c r="L79" s="54"/>
      <c r="M79" s="54"/>
    </row>
    <row r="80" spans="4:13">
      <c r="D80" s="54"/>
      <c r="J80" s="54"/>
      <c r="L80" s="54"/>
      <c r="M80" s="54"/>
    </row>
    <row r="81" spans="4:13">
      <c r="D81" s="54"/>
      <c r="J81" s="54"/>
      <c r="L81" s="54"/>
      <c r="M81" s="54"/>
    </row>
    <row r="82" spans="4:13">
      <c r="D82" s="54"/>
      <c r="J82" s="54"/>
      <c r="L82" s="54"/>
      <c r="M82" s="54"/>
    </row>
    <row r="83" spans="4:13">
      <c r="D83" s="54"/>
      <c r="J83" s="54"/>
      <c r="L83" s="54"/>
      <c r="M83" s="54"/>
    </row>
    <row r="84" spans="4:13">
      <c r="D84" s="54"/>
      <c r="J84" s="54"/>
      <c r="L84" s="54"/>
      <c r="M84" s="54"/>
    </row>
    <row r="85" spans="4:13">
      <c r="D85" s="54"/>
      <c r="J85" s="54"/>
      <c r="L85" s="54"/>
      <c r="M85" s="54"/>
    </row>
    <row r="86" spans="4:13">
      <c r="D86" s="54"/>
      <c r="J86" s="54"/>
      <c r="L86" s="54"/>
      <c r="M86" s="54"/>
    </row>
    <row r="87" spans="4:13">
      <c r="D87" s="54"/>
      <c r="J87" s="54"/>
      <c r="L87" s="54"/>
      <c r="M87" s="54"/>
    </row>
    <row r="88" spans="4:13">
      <c r="D88" s="54"/>
      <c r="J88" s="54"/>
      <c r="L88" s="54"/>
      <c r="M88" s="54"/>
    </row>
    <row r="89" spans="4:13">
      <c r="D89" s="54"/>
      <c r="J89" s="54"/>
      <c r="L89" s="54"/>
      <c r="M89" s="54"/>
    </row>
    <row r="90" spans="4:13">
      <c r="D90" s="54"/>
      <c r="J90" s="54"/>
      <c r="L90" s="54"/>
      <c r="M90" s="54"/>
    </row>
    <row r="91" spans="4:13">
      <c r="D91" s="54"/>
      <c r="J91" s="54"/>
      <c r="L91" s="54"/>
      <c r="M91" s="54"/>
    </row>
    <row r="92" spans="4:13">
      <c r="D92" s="54"/>
      <c r="J92" s="54"/>
      <c r="L92" s="54"/>
      <c r="M92" s="54"/>
    </row>
    <row r="93" spans="4:13">
      <c r="D93" s="54"/>
      <c r="J93" s="54"/>
      <c r="L93" s="54"/>
      <c r="M93" s="54"/>
    </row>
    <row r="94" spans="4:13">
      <c r="D94" s="54"/>
      <c r="J94" s="54"/>
      <c r="L94" s="54"/>
      <c r="M94" s="54"/>
    </row>
    <row r="95" spans="4:13">
      <c r="D95" s="54"/>
      <c r="J95" s="54"/>
      <c r="L95" s="54"/>
      <c r="M95" s="54"/>
    </row>
    <row r="96" spans="4:13">
      <c r="D96" s="54"/>
      <c r="J96" s="54"/>
      <c r="L96" s="54"/>
      <c r="M96" s="54"/>
    </row>
    <row r="97" spans="4:13">
      <c r="D97" s="54"/>
      <c r="J97" s="54"/>
      <c r="L97" s="54"/>
      <c r="M97" s="54"/>
    </row>
    <row r="98" spans="4:13">
      <c r="D98" s="54"/>
      <c r="J98" s="54"/>
      <c r="L98" s="54"/>
      <c r="M98" s="54"/>
    </row>
    <row r="99" spans="4:13">
      <c r="D99" s="54"/>
      <c r="J99" s="54"/>
      <c r="L99" s="54"/>
      <c r="M99" s="54"/>
    </row>
    <row r="100" spans="4:13">
      <c r="D100" s="54"/>
      <c r="J100" s="54"/>
      <c r="L100" s="54"/>
      <c r="M100" s="54"/>
    </row>
    <row r="101" spans="4:13">
      <c r="D101" s="54"/>
      <c r="J101" s="54"/>
      <c r="L101" s="54"/>
      <c r="M101" s="54"/>
    </row>
    <row r="102" spans="4:13">
      <c r="D102" s="54"/>
      <c r="J102" s="54"/>
      <c r="L102" s="54"/>
      <c r="M102" s="54"/>
    </row>
    <row r="103" spans="4:13">
      <c r="D103" s="54"/>
      <c r="J103" s="54"/>
      <c r="L103" s="54"/>
      <c r="M103" s="54"/>
    </row>
    <row r="104" spans="4:13">
      <c r="D104" s="54"/>
      <c r="J104" s="54"/>
      <c r="L104" s="54"/>
      <c r="M104" s="54"/>
    </row>
    <row r="105" spans="4:13">
      <c r="D105" s="54"/>
      <c r="J105" s="54"/>
      <c r="L105" s="54"/>
      <c r="M105" s="54"/>
    </row>
    <row r="106" spans="4:13">
      <c r="D106" s="54"/>
      <c r="J106" s="54"/>
      <c r="L106" s="54"/>
      <c r="M106" s="54"/>
    </row>
    <row r="107" spans="4:13">
      <c r="D107" s="54"/>
      <c r="J107" s="54"/>
      <c r="L107" s="54"/>
      <c r="M107" s="54"/>
    </row>
    <row r="108" spans="4:13">
      <c r="D108" s="54"/>
      <c r="J108" s="54"/>
      <c r="L108" s="54"/>
      <c r="M108" s="54"/>
    </row>
    <row r="109" spans="4:13">
      <c r="D109" s="54"/>
      <c r="J109" s="54"/>
      <c r="L109" s="54"/>
      <c r="M109" s="54"/>
    </row>
    <row r="110" spans="4:13">
      <c r="D110" s="54"/>
      <c r="J110" s="54"/>
      <c r="L110" s="54"/>
      <c r="M110" s="54"/>
    </row>
    <row r="111" spans="4:13">
      <c r="D111" s="54"/>
      <c r="J111" s="54"/>
      <c r="L111" s="54"/>
      <c r="M111" s="54"/>
    </row>
    <row r="112" spans="4:13">
      <c r="D112" s="54"/>
      <c r="J112" s="54"/>
      <c r="L112" s="54"/>
      <c r="M112" s="54"/>
    </row>
    <row r="113" spans="4:13">
      <c r="D113" s="54"/>
      <c r="J113" s="54"/>
      <c r="L113" s="54"/>
      <c r="M113" s="54"/>
    </row>
    <row r="114" spans="4:13">
      <c r="D114" s="54"/>
      <c r="J114" s="54"/>
      <c r="L114" s="54"/>
      <c r="M114" s="54"/>
    </row>
    <row r="115" spans="4:13">
      <c r="D115" s="54"/>
      <c r="J115" s="54"/>
      <c r="L115" s="54"/>
      <c r="M115" s="54"/>
    </row>
    <row r="116" spans="4:13">
      <c r="D116" s="54"/>
      <c r="J116" s="54"/>
      <c r="L116" s="54"/>
      <c r="M116" s="54"/>
    </row>
    <row r="117" spans="4:13">
      <c r="D117" s="54"/>
      <c r="J117" s="54"/>
      <c r="L117" s="54"/>
      <c r="M117" s="54"/>
    </row>
    <row r="118" spans="4:13">
      <c r="D118" s="54"/>
      <c r="J118" s="54"/>
      <c r="L118" s="54"/>
      <c r="M118" s="54"/>
    </row>
    <row r="119" spans="4:13">
      <c r="D119" s="54"/>
      <c r="J119" s="54"/>
      <c r="L119" s="54"/>
      <c r="M119" s="54"/>
    </row>
    <row r="120" spans="4:13">
      <c r="D120" s="54"/>
      <c r="J120" s="54"/>
      <c r="L120" s="54"/>
      <c r="M120" s="54"/>
    </row>
    <row r="121" spans="4:13">
      <c r="D121" s="54"/>
      <c r="J121" s="54"/>
      <c r="L121" s="54"/>
      <c r="M121" s="54"/>
    </row>
    <row r="122" spans="4:13">
      <c r="D122" s="54"/>
      <c r="J122" s="54"/>
      <c r="L122" s="54"/>
      <c r="M122" s="54"/>
    </row>
    <row r="123" spans="4:13">
      <c r="D123" s="54"/>
      <c r="J123" s="54"/>
      <c r="L123" s="54"/>
      <c r="M123" s="54"/>
    </row>
    <row r="124" spans="4:13">
      <c r="D124" s="54"/>
      <c r="J124" s="54"/>
      <c r="L124" s="54"/>
      <c r="M124" s="54"/>
    </row>
    <row r="125" spans="4:13">
      <c r="D125" s="54"/>
      <c r="J125" s="54"/>
      <c r="L125" s="54"/>
      <c r="M125" s="54"/>
    </row>
    <row r="126" spans="4:13">
      <c r="D126" s="54"/>
      <c r="J126" s="54"/>
      <c r="L126" s="54"/>
      <c r="M126" s="54"/>
    </row>
    <row r="127" spans="4:13">
      <c r="D127" s="54"/>
      <c r="J127" s="54"/>
      <c r="L127" s="54"/>
      <c r="M127" s="54"/>
    </row>
    <row r="128" spans="4:13">
      <c r="D128" s="54"/>
      <c r="J128" s="54"/>
      <c r="L128" s="54"/>
      <c r="M128" s="54"/>
    </row>
    <row r="129" spans="4:13">
      <c r="D129" s="54"/>
      <c r="J129" s="54"/>
      <c r="L129" s="54"/>
      <c r="M129" s="54"/>
    </row>
    <row r="130" spans="4:13">
      <c r="D130" s="54"/>
      <c r="J130" s="54"/>
      <c r="L130" s="54"/>
      <c r="M130" s="54"/>
    </row>
    <row r="131" spans="4:13">
      <c r="D131" s="54"/>
      <c r="J131" s="54"/>
      <c r="L131" s="54"/>
      <c r="M131" s="54"/>
    </row>
    <row r="132" spans="4:13">
      <c r="D132" s="54"/>
      <c r="J132" s="54"/>
      <c r="L132" s="54"/>
      <c r="M132" s="54"/>
    </row>
    <row r="133" spans="4:13">
      <c r="D133" s="54"/>
      <c r="J133" s="54"/>
      <c r="L133" s="54"/>
      <c r="M133" s="54"/>
    </row>
    <row r="134" spans="4:13">
      <c r="D134" s="54"/>
      <c r="J134" s="54"/>
      <c r="L134" s="54"/>
      <c r="M134" s="54"/>
    </row>
    <row r="135" spans="4:13">
      <c r="D135" s="54"/>
      <c r="J135" s="54"/>
      <c r="L135" s="54"/>
      <c r="M135" s="54"/>
    </row>
    <row r="136" spans="4:13">
      <c r="D136" s="54"/>
      <c r="J136" s="54"/>
      <c r="L136" s="54"/>
      <c r="M136" s="54"/>
    </row>
    <row r="137" spans="4:13">
      <c r="D137" s="54"/>
      <c r="J137" s="54"/>
      <c r="L137" s="54"/>
      <c r="M137" s="54"/>
    </row>
    <row r="138" spans="4:13">
      <c r="D138" s="54"/>
      <c r="J138" s="54"/>
      <c r="L138" s="54"/>
      <c r="M138" s="54"/>
    </row>
    <row r="139" spans="4:13">
      <c r="D139" s="54"/>
      <c r="J139" s="54"/>
      <c r="L139" s="54"/>
      <c r="M139" s="54"/>
    </row>
    <row r="140" spans="4:13">
      <c r="D140" s="54"/>
      <c r="J140" s="54"/>
      <c r="L140" s="54"/>
      <c r="M140" s="54"/>
    </row>
    <row r="141" spans="4:13">
      <c r="D141" s="54"/>
      <c r="J141" s="54"/>
      <c r="L141" s="54"/>
      <c r="M141" s="54"/>
    </row>
    <row r="142" spans="4:13">
      <c r="D142" s="54"/>
      <c r="J142" s="54"/>
      <c r="L142" s="54"/>
      <c r="M142" s="54"/>
    </row>
    <row r="143" spans="4:13">
      <c r="D143" s="54"/>
      <c r="J143" s="54"/>
      <c r="L143" s="54"/>
      <c r="M143" s="54"/>
    </row>
    <row r="144" spans="4:13">
      <c r="D144" s="54"/>
      <c r="J144" s="54"/>
      <c r="L144" s="54"/>
      <c r="M144" s="54"/>
    </row>
    <row r="145" spans="4:13">
      <c r="D145" s="54"/>
      <c r="J145" s="54"/>
      <c r="L145" s="54"/>
      <c r="M145" s="54"/>
    </row>
    <row r="146" spans="4:13">
      <c r="D146" s="54"/>
      <c r="J146" s="54"/>
      <c r="L146" s="54"/>
      <c r="M146" s="54"/>
    </row>
    <row r="147" spans="4:13">
      <c r="D147" s="54"/>
      <c r="J147" s="54"/>
      <c r="L147" s="54"/>
      <c r="M147" s="54"/>
    </row>
    <row r="148" spans="4:13">
      <c r="D148" s="54"/>
      <c r="J148" s="54"/>
      <c r="L148" s="54"/>
      <c r="M148" s="54"/>
    </row>
    <row r="149" spans="4:13">
      <c r="D149" s="54"/>
      <c r="J149" s="54"/>
      <c r="L149" s="54"/>
      <c r="M149" s="54"/>
    </row>
    <row r="150" spans="4:13">
      <c r="D150" s="54"/>
      <c r="J150" s="54"/>
      <c r="L150" s="54"/>
      <c r="M150" s="54"/>
    </row>
    <row r="151" spans="4:13">
      <c r="D151" s="54"/>
      <c r="J151" s="54"/>
      <c r="L151" s="54"/>
      <c r="M151" s="54"/>
    </row>
    <row r="152" spans="4:13">
      <c r="D152" s="54"/>
      <c r="J152" s="54"/>
      <c r="L152" s="54"/>
      <c r="M152" s="54"/>
    </row>
    <row r="153" spans="4:13">
      <c r="D153" s="54"/>
      <c r="J153" s="54"/>
      <c r="L153" s="54"/>
      <c r="M153" s="54"/>
    </row>
    <row r="154" spans="4:13">
      <c r="D154" s="54"/>
      <c r="J154" s="54"/>
      <c r="L154" s="54"/>
      <c r="M154" s="54"/>
    </row>
    <row r="155" spans="4:13">
      <c r="D155" s="54"/>
      <c r="J155" s="54"/>
      <c r="L155" s="54"/>
      <c r="M155" s="54"/>
    </row>
    <row r="156" spans="4:13">
      <c r="D156" s="54"/>
      <c r="J156" s="54"/>
      <c r="L156" s="54"/>
      <c r="M156" s="54"/>
    </row>
    <row r="157" spans="4:13">
      <c r="D157" s="54"/>
      <c r="J157" s="54"/>
      <c r="L157" s="54"/>
      <c r="M157" s="54"/>
    </row>
    <row r="158" spans="4:13">
      <c r="D158" s="54"/>
      <c r="J158" s="54"/>
      <c r="L158" s="54"/>
      <c r="M158" s="54"/>
    </row>
    <row r="159" spans="4:13">
      <c r="D159" s="54"/>
      <c r="J159" s="54"/>
      <c r="L159" s="54"/>
      <c r="M159" s="54"/>
    </row>
    <row r="160" spans="4:13">
      <c r="D160" s="54"/>
      <c r="J160" s="54"/>
      <c r="L160" s="54"/>
      <c r="M160" s="54"/>
    </row>
    <row r="161" spans="4:13">
      <c r="D161" s="54"/>
      <c r="J161" s="54"/>
      <c r="L161" s="54"/>
      <c r="M161" s="54"/>
    </row>
    <row r="162" spans="4:13">
      <c r="D162" s="54"/>
      <c r="J162" s="54"/>
      <c r="L162" s="54"/>
      <c r="M162" s="54"/>
    </row>
    <row r="163" spans="4:13">
      <c r="D163" s="54"/>
      <c r="J163" s="54"/>
      <c r="L163" s="54"/>
      <c r="M163" s="54"/>
    </row>
    <row r="164" spans="4:13">
      <c r="D164" s="54"/>
      <c r="J164" s="54"/>
      <c r="L164" s="54"/>
      <c r="M164" s="54"/>
    </row>
    <row r="165" spans="4:13">
      <c r="D165" s="54"/>
      <c r="J165" s="54"/>
      <c r="L165" s="54"/>
      <c r="M165" s="54"/>
    </row>
    <row r="166" spans="4:13">
      <c r="D166" s="54"/>
      <c r="J166" s="54"/>
      <c r="L166" s="54"/>
      <c r="M166" s="54"/>
    </row>
    <row r="167" spans="4:13">
      <c r="D167" s="54"/>
      <c r="J167" s="54"/>
      <c r="L167" s="54"/>
      <c r="M167" s="54"/>
    </row>
    <row r="168" spans="4:13">
      <c r="D168" s="54"/>
      <c r="J168" s="54"/>
      <c r="L168" s="54"/>
      <c r="M168" s="54"/>
    </row>
    <row r="169" spans="4:13">
      <c r="D169" s="54"/>
      <c r="J169" s="54"/>
      <c r="L169" s="54"/>
      <c r="M169" s="54"/>
    </row>
    <row r="170" spans="4:13">
      <c r="D170" s="54"/>
      <c r="J170" s="54"/>
      <c r="L170" s="54"/>
      <c r="M170" s="54"/>
    </row>
    <row r="171" spans="4:13">
      <c r="D171" s="54"/>
      <c r="J171" s="54"/>
      <c r="L171" s="54"/>
      <c r="M171" s="54"/>
    </row>
    <row r="172" spans="4:13">
      <c r="D172" s="54"/>
      <c r="J172" s="54"/>
      <c r="L172" s="54"/>
      <c r="M172" s="54"/>
    </row>
    <row r="173" spans="4:13">
      <c r="D173" s="54"/>
      <c r="J173" s="54"/>
      <c r="L173" s="54"/>
      <c r="M173" s="54"/>
    </row>
    <row r="174" spans="4:13">
      <c r="D174" s="54"/>
      <c r="J174" s="54"/>
      <c r="L174" s="54"/>
      <c r="M174" s="54"/>
    </row>
    <row r="175" spans="4:13">
      <c r="D175" s="54"/>
      <c r="J175" s="54"/>
      <c r="L175" s="54"/>
      <c r="M175" s="54"/>
    </row>
    <row r="176" spans="4:13">
      <c r="D176" s="54"/>
      <c r="J176" s="54"/>
      <c r="L176" s="54"/>
      <c r="M176" s="54"/>
    </row>
    <row r="177" spans="4:13">
      <c r="D177" s="54"/>
      <c r="J177" s="54"/>
      <c r="L177" s="54"/>
      <c r="M177" s="54"/>
    </row>
    <row r="178" spans="4:13">
      <c r="D178" s="54"/>
      <c r="J178" s="54"/>
      <c r="L178" s="54"/>
      <c r="M178" s="54"/>
    </row>
    <row r="179" spans="4:13">
      <c r="D179" s="54"/>
      <c r="J179" s="54"/>
      <c r="L179" s="54"/>
      <c r="M179" s="54"/>
    </row>
    <row r="180" spans="4:13">
      <c r="D180" s="54"/>
      <c r="J180" s="54"/>
      <c r="L180" s="54"/>
      <c r="M180" s="54"/>
    </row>
    <row r="181" spans="4:13">
      <c r="D181" s="54"/>
      <c r="J181" s="54"/>
      <c r="L181" s="54"/>
      <c r="M181" s="54"/>
    </row>
    <row r="182" spans="4:13">
      <c r="D182" s="54"/>
      <c r="J182" s="54"/>
      <c r="L182" s="54"/>
      <c r="M182" s="54"/>
    </row>
    <row r="183" spans="4:13">
      <c r="D183" s="54"/>
      <c r="J183" s="54"/>
      <c r="L183" s="54"/>
      <c r="M183" s="54"/>
    </row>
    <row r="184" spans="4:13">
      <c r="D184" s="54"/>
      <c r="J184" s="54"/>
      <c r="L184" s="54"/>
      <c r="M184" s="54"/>
    </row>
    <row r="185" spans="4:13">
      <c r="D185" s="54"/>
      <c r="J185" s="54"/>
      <c r="L185" s="54"/>
      <c r="M185" s="54"/>
    </row>
    <row r="186" spans="4:13">
      <c r="D186" s="54"/>
      <c r="J186" s="54"/>
      <c r="L186" s="54"/>
      <c r="M186" s="54"/>
    </row>
    <row r="187" spans="4:13">
      <c r="D187" s="54"/>
      <c r="J187" s="54"/>
      <c r="L187" s="54"/>
      <c r="M187" s="54"/>
    </row>
    <row r="188" spans="4:13">
      <c r="D188" s="54"/>
      <c r="J188" s="54"/>
      <c r="L188" s="54"/>
      <c r="M188" s="54"/>
    </row>
    <row r="189" spans="4:13">
      <c r="D189" s="54"/>
      <c r="J189" s="54"/>
      <c r="L189" s="54"/>
      <c r="M189" s="54"/>
    </row>
    <row r="190" spans="4:13">
      <c r="D190" s="54"/>
      <c r="J190" s="54"/>
      <c r="L190" s="54"/>
      <c r="M190" s="54"/>
    </row>
    <row r="191" spans="4:13">
      <c r="D191" s="54"/>
      <c r="J191" s="54"/>
      <c r="L191" s="54"/>
      <c r="M191" s="54"/>
    </row>
    <row r="192" spans="4:13">
      <c r="D192" s="54"/>
      <c r="J192" s="54"/>
      <c r="L192" s="54"/>
      <c r="M192" s="54"/>
    </row>
    <row r="193" spans="4:13">
      <c r="D193" s="54"/>
      <c r="J193" s="54"/>
      <c r="L193" s="54"/>
      <c r="M193" s="54"/>
    </row>
    <row r="194" spans="4:13">
      <c r="D194" s="54"/>
      <c r="J194" s="54"/>
      <c r="L194" s="54"/>
      <c r="M194" s="54"/>
    </row>
    <row r="195" spans="4:13">
      <c r="D195" s="54"/>
      <c r="J195" s="54"/>
      <c r="L195" s="54"/>
      <c r="M195" s="54"/>
    </row>
    <row r="196" spans="4:13">
      <c r="D196" s="54"/>
      <c r="J196" s="54"/>
      <c r="L196" s="54"/>
      <c r="M196" s="54"/>
    </row>
    <row r="197" spans="4:13">
      <c r="D197" s="54"/>
      <c r="J197" s="54"/>
      <c r="L197" s="54"/>
      <c r="M197" s="54"/>
    </row>
    <row r="198" spans="4:13">
      <c r="D198" s="54"/>
      <c r="J198" s="54"/>
      <c r="L198" s="54"/>
      <c r="M198" s="54"/>
    </row>
    <row r="199" spans="4:13">
      <c r="D199" s="54"/>
      <c r="J199" s="54"/>
      <c r="L199" s="54"/>
      <c r="M199" s="54"/>
    </row>
    <row r="200" spans="4:13">
      <c r="D200" s="54"/>
      <c r="J200" s="54"/>
      <c r="L200" s="54"/>
      <c r="M200" s="54"/>
    </row>
    <row r="201" spans="4:13">
      <c r="D201" s="54"/>
      <c r="J201" s="54"/>
      <c r="L201" s="54"/>
      <c r="M201" s="54"/>
    </row>
    <row r="202" spans="4:13">
      <c r="D202" s="54"/>
      <c r="J202" s="54"/>
      <c r="L202" s="54"/>
      <c r="M202" s="54"/>
    </row>
    <row r="203" spans="4:13">
      <c r="D203" s="54"/>
      <c r="J203" s="54"/>
      <c r="L203" s="54"/>
      <c r="M203" s="54"/>
    </row>
    <row r="204" spans="4:13">
      <c r="D204" s="54"/>
      <c r="J204" s="54"/>
      <c r="L204" s="54"/>
      <c r="M204" s="54"/>
    </row>
    <row r="205" spans="4:13">
      <c r="D205" s="54"/>
      <c r="J205" s="54"/>
      <c r="L205" s="54"/>
      <c r="M205" s="54"/>
    </row>
    <row r="206" spans="4:13">
      <c r="D206" s="54"/>
      <c r="J206" s="54"/>
      <c r="L206" s="54"/>
      <c r="M206" s="54"/>
    </row>
    <row r="207" spans="4:13">
      <c r="D207" s="54"/>
      <c r="J207" s="54"/>
      <c r="L207" s="54"/>
      <c r="M207" s="54"/>
    </row>
    <row r="208" spans="4:13">
      <c r="D208" s="54"/>
      <c r="J208" s="54"/>
      <c r="L208" s="54"/>
      <c r="M208" s="54"/>
    </row>
    <row r="209" spans="4:13">
      <c r="D209" s="54"/>
      <c r="J209" s="54"/>
      <c r="L209" s="54"/>
      <c r="M209" s="54"/>
    </row>
    <row r="210" spans="4:13">
      <c r="D210" s="54"/>
      <c r="J210" s="54"/>
      <c r="L210" s="54"/>
      <c r="M210" s="54"/>
    </row>
    <row r="211" spans="4:13">
      <c r="D211" s="54"/>
      <c r="J211" s="54"/>
      <c r="L211" s="54"/>
      <c r="M211" s="54"/>
    </row>
    <row r="212" spans="4:13">
      <c r="D212" s="54"/>
      <c r="J212" s="54"/>
      <c r="L212" s="54"/>
      <c r="M212" s="54"/>
    </row>
    <row r="213" spans="4:13">
      <c r="D213" s="54"/>
      <c r="J213" s="54"/>
      <c r="L213" s="54"/>
      <c r="M213" s="54"/>
    </row>
    <row r="214" spans="4:13">
      <c r="D214" s="54"/>
      <c r="J214" s="54"/>
      <c r="L214" s="54"/>
      <c r="M214" s="54"/>
    </row>
    <row r="215" spans="4:13">
      <c r="D215" s="54"/>
      <c r="J215" s="54"/>
      <c r="L215" s="54"/>
      <c r="M215" s="54"/>
    </row>
    <row r="216" spans="4:13">
      <c r="D216" s="54"/>
      <c r="J216" s="54"/>
      <c r="L216" s="54"/>
      <c r="M216" s="54"/>
    </row>
    <row r="217" spans="4:13">
      <c r="D217" s="54"/>
      <c r="J217" s="54"/>
      <c r="L217" s="54"/>
      <c r="M217" s="54"/>
    </row>
    <row r="218" spans="4:13">
      <c r="D218" s="54"/>
      <c r="J218" s="54"/>
      <c r="L218" s="54"/>
      <c r="M218" s="54"/>
    </row>
    <row r="219" spans="4:13">
      <c r="D219" s="54"/>
      <c r="J219" s="54"/>
      <c r="L219" s="54"/>
      <c r="M219" s="54"/>
    </row>
    <row r="220" spans="4:13">
      <c r="D220" s="54"/>
      <c r="J220" s="54"/>
      <c r="L220" s="54"/>
      <c r="M220" s="54"/>
    </row>
    <row r="221" spans="4:13">
      <c r="D221" s="54"/>
      <c r="J221" s="54"/>
      <c r="L221" s="54"/>
      <c r="M221" s="54"/>
    </row>
    <row r="222" spans="4:13">
      <c r="D222" s="54"/>
      <c r="J222" s="54"/>
      <c r="L222" s="54"/>
      <c r="M222" s="54"/>
    </row>
    <row r="223" spans="4:13">
      <c r="D223" s="54"/>
      <c r="J223" s="54"/>
      <c r="L223" s="54"/>
      <c r="M223" s="54"/>
    </row>
    <row r="224" spans="4:13">
      <c r="D224" s="54"/>
      <c r="J224" s="54"/>
      <c r="L224" s="54"/>
      <c r="M224" s="54"/>
    </row>
    <row r="225" spans="4:13">
      <c r="D225" s="54"/>
      <c r="J225" s="54"/>
      <c r="L225" s="54"/>
      <c r="M225" s="54"/>
    </row>
    <row r="226" spans="4:13">
      <c r="D226" s="54"/>
      <c r="J226" s="54"/>
      <c r="L226" s="54"/>
      <c r="M226" s="54"/>
    </row>
    <row r="227" spans="4:13">
      <c r="D227" s="54"/>
      <c r="J227" s="54"/>
      <c r="L227" s="54"/>
      <c r="M227" s="54"/>
    </row>
    <row r="228" spans="4:13">
      <c r="D228" s="54"/>
      <c r="J228" s="54"/>
      <c r="L228" s="54"/>
      <c r="M228" s="54"/>
    </row>
    <row r="229" spans="4:13">
      <c r="D229" s="54"/>
      <c r="J229" s="54"/>
      <c r="L229" s="54"/>
      <c r="M229" s="54"/>
    </row>
    <row r="230" spans="4:13">
      <c r="D230" s="54"/>
      <c r="J230" s="54"/>
      <c r="L230" s="54"/>
      <c r="M230" s="54"/>
    </row>
    <row r="231" spans="4:13">
      <c r="D231" s="54"/>
      <c r="J231" s="54"/>
      <c r="L231" s="54"/>
      <c r="M231" s="54"/>
    </row>
    <row r="232" spans="4:13">
      <c r="D232" s="54"/>
      <c r="J232" s="54"/>
      <c r="L232" s="54"/>
      <c r="M232" s="54"/>
    </row>
    <row r="233" spans="4:13">
      <c r="D233" s="54"/>
      <c r="J233" s="54"/>
      <c r="L233" s="54"/>
      <c r="M233" s="54"/>
    </row>
    <row r="234" spans="4:13">
      <c r="D234" s="54"/>
      <c r="J234" s="54"/>
      <c r="L234" s="54"/>
      <c r="M234" s="54"/>
    </row>
    <row r="235" spans="4:13">
      <c r="D235" s="54"/>
      <c r="J235" s="54"/>
      <c r="L235" s="54"/>
      <c r="M235" s="54"/>
    </row>
    <row r="236" spans="4:13">
      <c r="D236" s="54"/>
      <c r="J236" s="54"/>
      <c r="L236" s="54"/>
      <c r="M236" s="54"/>
    </row>
    <row r="237" spans="4:13">
      <c r="D237" s="54"/>
      <c r="J237" s="54"/>
      <c r="L237" s="54"/>
      <c r="M237" s="54"/>
    </row>
    <row r="238" spans="4:13">
      <c r="D238" s="54"/>
      <c r="J238" s="54"/>
      <c r="L238" s="54"/>
      <c r="M238" s="54"/>
    </row>
    <row r="239" spans="4:13">
      <c r="D239" s="54"/>
      <c r="J239" s="54"/>
      <c r="L239" s="54"/>
      <c r="M239" s="54"/>
    </row>
    <row r="240" spans="4:13">
      <c r="D240" s="54"/>
      <c r="J240" s="54"/>
      <c r="L240" s="54"/>
      <c r="M240" s="54"/>
    </row>
    <row r="241" spans="4:13">
      <c r="D241" s="54"/>
      <c r="J241" s="54"/>
      <c r="L241" s="54"/>
      <c r="M241" s="54"/>
    </row>
    <row r="242" spans="4:13">
      <c r="D242" s="54"/>
      <c r="J242" s="54"/>
      <c r="L242" s="54"/>
      <c r="M242" s="54"/>
    </row>
    <row r="243" spans="4:13">
      <c r="D243" s="54"/>
      <c r="J243" s="54"/>
      <c r="L243" s="54"/>
      <c r="M243" s="54"/>
    </row>
    <row r="244" spans="4:13">
      <c r="D244" s="54"/>
      <c r="J244" s="54"/>
      <c r="L244" s="54"/>
      <c r="M244" s="54"/>
    </row>
    <row r="245" spans="4:13">
      <c r="D245" s="54"/>
      <c r="J245" s="54"/>
      <c r="L245" s="54"/>
      <c r="M245" s="54"/>
    </row>
    <row r="246" spans="4:13">
      <c r="D246" s="54"/>
      <c r="J246" s="54"/>
      <c r="L246" s="54"/>
      <c r="M246" s="54"/>
    </row>
    <row r="247" spans="4:13">
      <c r="D247" s="54"/>
      <c r="J247" s="54"/>
      <c r="L247" s="54"/>
      <c r="M247" s="54"/>
    </row>
    <row r="248" spans="4:13">
      <c r="D248" s="54"/>
      <c r="J248" s="54"/>
      <c r="L248" s="54"/>
      <c r="M248" s="54"/>
    </row>
    <row r="249" spans="4:13">
      <c r="D249" s="54"/>
      <c r="J249" s="54"/>
      <c r="L249" s="54"/>
      <c r="M249" s="54"/>
    </row>
    <row r="250" spans="4:13">
      <c r="D250" s="54"/>
      <c r="J250" s="54"/>
      <c r="L250" s="54"/>
      <c r="M250" s="54"/>
    </row>
    <row r="251" spans="4:13">
      <c r="D251" s="54"/>
      <c r="J251" s="54"/>
      <c r="L251" s="54"/>
      <c r="M251" s="54"/>
    </row>
    <row r="252" spans="4:13">
      <c r="D252" s="54"/>
      <c r="J252" s="54"/>
      <c r="L252" s="54"/>
      <c r="M252" s="54"/>
    </row>
    <row r="253" spans="4:13">
      <c r="D253" s="54"/>
      <c r="J253" s="54"/>
      <c r="L253" s="54"/>
      <c r="M253" s="54"/>
    </row>
    <row r="254" spans="4:13">
      <c r="D254" s="54"/>
      <c r="J254" s="54"/>
      <c r="L254" s="54"/>
      <c r="M254" s="54"/>
    </row>
    <row r="255" spans="4:13">
      <c r="D255" s="54"/>
      <c r="J255" s="54"/>
      <c r="L255" s="54"/>
      <c r="M255" s="54"/>
    </row>
    <row r="256" spans="4:13">
      <c r="D256" s="54"/>
      <c r="J256" s="54"/>
      <c r="L256" s="54"/>
      <c r="M256" s="54"/>
    </row>
    <row r="257" spans="4:13">
      <c r="D257" s="54"/>
      <c r="J257" s="54"/>
      <c r="L257" s="54"/>
      <c r="M257" s="54"/>
    </row>
    <row r="258" spans="4:13">
      <c r="D258" s="54"/>
      <c r="J258" s="54"/>
      <c r="L258" s="54"/>
      <c r="M258" s="54"/>
    </row>
    <row r="259" spans="4:13">
      <c r="D259" s="54"/>
      <c r="J259" s="54"/>
      <c r="L259" s="54"/>
      <c r="M259" s="54"/>
    </row>
    <row r="260" spans="4:13">
      <c r="D260" s="54"/>
      <c r="J260" s="54"/>
      <c r="L260" s="54"/>
      <c r="M260" s="54"/>
    </row>
    <row r="261" spans="4:13">
      <c r="D261" s="54"/>
      <c r="J261" s="54"/>
      <c r="L261" s="54"/>
      <c r="M261" s="54"/>
    </row>
    <row r="262" spans="4:13">
      <c r="D262" s="54"/>
      <c r="J262" s="54"/>
      <c r="L262" s="54"/>
      <c r="M262" s="54"/>
    </row>
    <row r="263" spans="4:13">
      <c r="D263" s="54"/>
      <c r="J263" s="54"/>
      <c r="L263" s="54"/>
      <c r="M263" s="54"/>
    </row>
    <row r="264" spans="4:13">
      <c r="D264" s="54"/>
      <c r="J264" s="54"/>
      <c r="L264" s="54"/>
      <c r="M264" s="54"/>
    </row>
    <row r="265" spans="4:13">
      <c r="D265" s="54"/>
      <c r="J265" s="54"/>
      <c r="L265" s="54"/>
      <c r="M265" s="54"/>
    </row>
    <row r="266" spans="4:13">
      <c r="D266" s="54"/>
      <c r="J266" s="54"/>
      <c r="L266" s="54"/>
      <c r="M266" s="54"/>
    </row>
    <row r="267" spans="4:13">
      <c r="D267" s="54"/>
      <c r="J267" s="54"/>
      <c r="L267" s="54"/>
      <c r="M267" s="54"/>
    </row>
    <row r="268" spans="4:13">
      <c r="D268" s="54"/>
      <c r="J268" s="54"/>
      <c r="L268" s="54"/>
      <c r="M268" s="54"/>
    </row>
    <row r="269" spans="4:13">
      <c r="D269" s="54"/>
      <c r="J269" s="54"/>
      <c r="L269" s="54"/>
      <c r="M269" s="54"/>
    </row>
    <row r="270" spans="4:13">
      <c r="D270" s="54"/>
      <c r="J270" s="54"/>
      <c r="L270" s="54"/>
      <c r="M270" s="54"/>
    </row>
    <row r="271" spans="4:13">
      <c r="D271" s="54"/>
      <c r="J271" s="54"/>
      <c r="L271" s="54"/>
      <c r="M271" s="54"/>
    </row>
    <row r="272" spans="4:13">
      <c r="D272" s="54"/>
      <c r="J272" s="54"/>
      <c r="L272" s="54"/>
      <c r="M272" s="54"/>
    </row>
    <row r="273" spans="4:13">
      <c r="D273" s="54"/>
      <c r="J273" s="54"/>
      <c r="L273" s="54"/>
      <c r="M273" s="54"/>
    </row>
    <row r="274" spans="4:13">
      <c r="D274" s="54"/>
      <c r="J274" s="54"/>
      <c r="L274" s="54"/>
      <c r="M274" s="54"/>
    </row>
    <row r="275" spans="4:13">
      <c r="D275" s="54"/>
      <c r="J275" s="54"/>
      <c r="L275" s="54"/>
      <c r="M275" s="54"/>
    </row>
    <row r="276" spans="4:13">
      <c r="D276" s="54"/>
      <c r="J276" s="54"/>
      <c r="L276" s="54"/>
      <c r="M276" s="54"/>
    </row>
    <row r="277" spans="4:13">
      <c r="D277" s="54"/>
      <c r="J277" s="54"/>
      <c r="L277" s="54"/>
      <c r="M277" s="54"/>
    </row>
    <row r="278" spans="4:13">
      <c r="D278" s="54"/>
      <c r="J278" s="54"/>
      <c r="L278" s="54"/>
      <c r="M278" s="54"/>
    </row>
    <row r="279" spans="4:13">
      <c r="D279" s="54"/>
      <c r="J279" s="54"/>
      <c r="L279" s="54"/>
      <c r="M279" s="54"/>
    </row>
    <row r="280" spans="4:13">
      <c r="D280" s="54"/>
      <c r="J280" s="54"/>
      <c r="L280" s="54"/>
      <c r="M280" s="54"/>
    </row>
    <row r="281" spans="4:13">
      <c r="D281" s="54"/>
      <c r="J281" s="54"/>
      <c r="L281" s="54"/>
      <c r="M281" s="54"/>
    </row>
    <row r="282" spans="4:13">
      <c r="D282" s="54"/>
      <c r="J282" s="54"/>
      <c r="L282" s="54"/>
      <c r="M282" s="54"/>
    </row>
    <row r="283" spans="4:13">
      <c r="D283" s="54"/>
      <c r="J283" s="54"/>
      <c r="L283" s="54"/>
      <c r="M283" s="54"/>
    </row>
    <row r="284" spans="4:13">
      <c r="D284" s="54"/>
      <c r="J284" s="54"/>
      <c r="L284" s="54"/>
      <c r="M284" s="54"/>
    </row>
    <row r="285" spans="4:13">
      <c r="D285" s="54"/>
      <c r="J285" s="54"/>
      <c r="L285" s="54"/>
      <c r="M285" s="54"/>
    </row>
    <row r="286" spans="4:13">
      <c r="D286" s="54"/>
      <c r="J286" s="54"/>
      <c r="L286" s="54"/>
      <c r="M286" s="54"/>
    </row>
    <row r="287" spans="4:13">
      <c r="D287" s="54"/>
      <c r="J287" s="54"/>
      <c r="L287" s="54"/>
      <c r="M287" s="54"/>
    </row>
    <row r="288" spans="4:13">
      <c r="D288" s="54"/>
      <c r="J288" s="54"/>
      <c r="L288" s="54"/>
      <c r="M288" s="54"/>
    </row>
    <row r="289" spans="4:13">
      <c r="D289" s="54"/>
      <c r="J289" s="54"/>
      <c r="L289" s="54"/>
      <c r="M289" s="54"/>
    </row>
    <row r="290" spans="4:13">
      <c r="D290" s="54"/>
      <c r="J290" s="54"/>
      <c r="L290" s="54"/>
      <c r="M290" s="54"/>
    </row>
    <row r="291" spans="4:13">
      <c r="D291" s="54"/>
      <c r="J291" s="54"/>
      <c r="L291" s="54"/>
      <c r="M291" s="54"/>
    </row>
    <row r="292" spans="4:13">
      <c r="D292" s="54"/>
      <c r="J292" s="54"/>
      <c r="L292" s="54"/>
      <c r="M292" s="54"/>
    </row>
    <row r="293" spans="4:13">
      <c r="D293" s="54"/>
      <c r="J293" s="54"/>
      <c r="L293" s="54"/>
      <c r="M293" s="54"/>
    </row>
    <row r="294" spans="4:13">
      <c r="D294" s="54"/>
      <c r="J294" s="54"/>
      <c r="L294" s="54"/>
      <c r="M294" s="54"/>
    </row>
    <row r="295" spans="4:13">
      <c r="D295" s="54"/>
      <c r="J295" s="54"/>
      <c r="L295" s="54"/>
      <c r="M295" s="54"/>
    </row>
    <row r="296" spans="4:13">
      <c r="D296" s="54"/>
      <c r="J296" s="54"/>
      <c r="L296" s="54"/>
      <c r="M296" s="54"/>
    </row>
    <row r="297" spans="4:13">
      <c r="D297" s="54"/>
      <c r="J297" s="54"/>
      <c r="L297" s="54"/>
      <c r="M297" s="54"/>
    </row>
    <row r="298" spans="4:13">
      <c r="D298" s="54"/>
      <c r="J298" s="54"/>
      <c r="L298" s="54"/>
      <c r="M298" s="54"/>
    </row>
    <row r="299" spans="4:13">
      <c r="D299" s="54"/>
      <c r="J299" s="54"/>
      <c r="L299" s="54"/>
      <c r="M299" s="54"/>
    </row>
    <row r="300" spans="4:13">
      <c r="D300" s="54"/>
      <c r="J300" s="54"/>
      <c r="L300" s="54"/>
      <c r="M300" s="54"/>
    </row>
    <row r="301" spans="4:13">
      <c r="D301" s="54"/>
      <c r="J301" s="54"/>
      <c r="L301" s="54"/>
      <c r="M301" s="54"/>
    </row>
    <row r="302" spans="4:13">
      <c r="D302" s="54"/>
      <c r="J302" s="54"/>
      <c r="L302" s="54"/>
      <c r="M302" s="54"/>
    </row>
    <row r="303" spans="4:13">
      <c r="D303" s="54"/>
      <c r="J303" s="54"/>
      <c r="L303" s="54"/>
      <c r="M303" s="54"/>
    </row>
    <row r="304" spans="4:13">
      <c r="D304" s="54"/>
      <c r="J304" s="54"/>
      <c r="L304" s="54"/>
      <c r="M304" s="54"/>
    </row>
    <row r="305" spans="4:13">
      <c r="D305" s="54"/>
      <c r="J305" s="54"/>
      <c r="L305" s="54"/>
      <c r="M305" s="54"/>
    </row>
    <row r="306" spans="4:13">
      <c r="D306" s="54"/>
      <c r="J306" s="54"/>
      <c r="L306" s="54"/>
      <c r="M306" s="54"/>
    </row>
    <row r="307" spans="4:13">
      <c r="D307" s="54"/>
      <c r="J307" s="54"/>
      <c r="L307" s="54"/>
      <c r="M307" s="54"/>
    </row>
    <row r="308" spans="4:13">
      <c r="D308" s="54"/>
      <c r="J308" s="54"/>
      <c r="L308" s="54"/>
      <c r="M308" s="54"/>
    </row>
    <row r="309" spans="4:13">
      <c r="D309" s="54"/>
      <c r="J309" s="54"/>
      <c r="L309" s="54"/>
      <c r="M309" s="54"/>
    </row>
    <row r="310" spans="4:13">
      <c r="D310" s="54"/>
      <c r="J310" s="54"/>
      <c r="L310" s="54"/>
      <c r="M310" s="54"/>
    </row>
    <row r="311" spans="4:13">
      <c r="D311" s="54"/>
      <c r="J311" s="54"/>
      <c r="L311" s="54"/>
      <c r="M311" s="54"/>
    </row>
    <row r="312" spans="4:13">
      <c r="D312" s="54"/>
      <c r="J312" s="54"/>
      <c r="L312" s="54"/>
      <c r="M312" s="54"/>
    </row>
    <row r="313" spans="4:13">
      <c r="D313" s="54"/>
      <c r="J313" s="54"/>
      <c r="L313" s="54"/>
      <c r="M313" s="54"/>
    </row>
    <row r="314" spans="4:13">
      <c r="D314" s="54"/>
      <c r="J314" s="54"/>
      <c r="L314" s="54"/>
      <c r="M314" s="54"/>
    </row>
    <row r="315" spans="4:13">
      <c r="D315" s="54"/>
      <c r="J315" s="54"/>
      <c r="L315" s="54"/>
      <c r="M315" s="54"/>
    </row>
    <row r="316" spans="4:13">
      <c r="D316" s="54"/>
      <c r="J316" s="54"/>
      <c r="L316" s="54"/>
      <c r="M316" s="54"/>
    </row>
    <row r="317" spans="4:13">
      <c r="D317" s="54"/>
      <c r="J317" s="54"/>
      <c r="L317" s="54"/>
      <c r="M317" s="54"/>
    </row>
    <row r="318" spans="4:13">
      <c r="D318" s="54"/>
      <c r="J318" s="54"/>
      <c r="L318" s="54"/>
      <c r="M318" s="54"/>
    </row>
    <row r="319" spans="4:13">
      <c r="D319" s="54"/>
      <c r="J319" s="54"/>
      <c r="L319" s="54"/>
      <c r="M319" s="54"/>
    </row>
    <row r="320" spans="4:13">
      <c r="D320" s="54"/>
      <c r="J320" s="54"/>
      <c r="L320" s="54"/>
      <c r="M320" s="54"/>
    </row>
    <row r="321" spans="4:13">
      <c r="D321" s="54"/>
      <c r="J321" s="54"/>
      <c r="L321" s="54"/>
      <c r="M321" s="54"/>
    </row>
    <row r="322" spans="4:13">
      <c r="D322" s="54"/>
      <c r="J322" s="54"/>
      <c r="L322" s="54"/>
      <c r="M322" s="54"/>
    </row>
    <row r="323" spans="4:13">
      <c r="D323" s="54"/>
      <c r="J323" s="54"/>
      <c r="L323" s="54"/>
      <c r="M323" s="54"/>
    </row>
    <row r="324" spans="4:13">
      <c r="D324" s="54"/>
      <c r="J324" s="54"/>
      <c r="L324" s="54"/>
      <c r="M324" s="54"/>
    </row>
    <row r="325" spans="4:13">
      <c r="D325" s="54"/>
      <c r="J325" s="54"/>
      <c r="L325" s="54"/>
      <c r="M325" s="54"/>
    </row>
    <row r="326" spans="4:13">
      <c r="D326" s="54"/>
      <c r="J326" s="54"/>
      <c r="L326" s="54"/>
      <c r="M326" s="54"/>
    </row>
    <row r="327" spans="4:13">
      <c r="D327" s="54"/>
      <c r="J327" s="54"/>
      <c r="L327" s="54"/>
      <c r="M327" s="54"/>
    </row>
    <row r="328" spans="4:13">
      <c r="D328" s="54"/>
      <c r="J328" s="54"/>
      <c r="L328" s="54"/>
      <c r="M328" s="54"/>
    </row>
    <row r="329" spans="4:13">
      <c r="D329" s="54"/>
      <c r="J329" s="54"/>
      <c r="L329" s="54"/>
      <c r="M329" s="54"/>
    </row>
    <row r="330" spans="4:13">
      <c r="D330" s="54"/>
      <c r="J330" s="54"/>
      <c r="L330" s="54"/>
      <c r="M330" s="54"/>
    </row>
    <row r="331" spans="4:13">
      <c r="D331" s="54"/>
      <c r="J331" s="54"/>
      <c r="L331" s="54"/>
      <c r="M331" s="54"/>
    </row>
    <row r="332" spans="4:13">
      <c r="D332" s="54"/>
      <c r="J332" s="54"/>
      <c r="L332" s="54"/>
      <c r="M332" s="54"/>
    </row>
    <row r="333" spans="4:13">
      <c r="D333" s="54"/>
      <c r="J333" s="54"/>
      <c r="L333" s="54"/>
      <c r="M333" s="54"/>
    </row>
    <row r="334" spans="4:13">
      <c r="D334" s="54"/>
      <c r="J334" s="54"/>
      <c r="L334" s="54"/>
      <c r="M334" s="54"/>
    </row>
    <row r="335" spans="4:13">
      <c r="D335" s="54"/>
      <c r="J335" s="54"/>
      <c r="L335" s="54"/>
      <c r="M335" s="54"/>
    </row>
    <row r="336" spans="4:13">
      <c r="D336" s="54"/>
      <c r="J336" s="54"/>
      <c r="L336" s="54"/>
      <c r="M336" s="54"/>
    </row>
    <row r="337" spans="4:13">
      <c r="D337" s="54"/>
      <c r="J337" s="54"/>
      <c r="L337" s="54"/>
      <c r="M337" s="54"/>
    </row>
    <row r="338" spans="4:13">
      <c r="D338" s="54"/>
      <c r="J338" s="54"/>
      <c r="L338" s="54"/>
      <c r="M338" s="54"/>
    </row>
    <row r="339" spans="4:13">
      <c r="D339" s="54"/>
      <c r="J339" s="54"/>
      <c r="L339" s="54"/>
      <c r="M339" s="54"/>
    </row>
    <row r="340" spans="4:13">
      <c r="D340" s="54"/>
      <c r="J340" s="54"/>
      <c r="L340" s="54"/>
      <c r="M340" s="54"/>
    </row>
    <row r="341" spans="4:13">
      <c r="D341" s="54"/>
      <c r="J341" s="54"/>
      <c r="L341" s="54"/>
      <c r="M341" s="54"/>
    </row>
    <row r="342" spans="4:13">
      <c r="D342" s="54"/>
      <c r="J342" s="54"/>
      <c r="L342" s="54"/>
      <c r="M342" s="54"/>
    </row>
    <row r="343" spans="4:13">
      <c r="D343" s="54"/>
      <c r="J343" s="54"/>
      <c r="L343" s="54"/>
      <c r="M343" s="54"/>
    </row>
    <row r="344" spans="4:13">
      <c r="D344" s="54"/>
      <c r="J344" s="54"/>
      <c r="L344" s="54"/>
      <c r="M344" s="54"/>
    </row>
    <row r="345" spans="4:13">
      <c r="D345" s="54"/>
      <c r="J345" s="54"/>
      <c r="L345" s="54"/>
      <c r="M345" s="54"/>
    </row>
    <row r="346" spans="4:13">
      <c r="D346" s="54"/>
      <c r="J346" s="54"/>
      <c r="L346" s="54"/>
      <c r="M346" s="54"/>
    </row>
    <row r="347" spans="4:13">
      <c r="D347" s="54"/>
      <c r="J347" s="54"/>
      <c r="L347" s="54"/>
      <c r="M347" s="54"/>
    </row>
    <row r="348" spans="4:13">
      <c r="D348" s="54"/>
      <c r="J348" s="54"/>
      <c r="L348" s="54"/>
      <c r="M348" s="54"/>
    </row>
    <row r="349" spans="4:13">
      <c r="D349" s="54"/>
      <c r="J349" s="54"/>
      <c r="L349" s="54"/>
      <c r="M349" s="54"/>
    </row>
    <row r="350" spans="4:13">
      <c r="D350" s="54"/>
      <c r="J350" s="54"/>
      <c r="L350" s="54"/>
      <c r="M350" s="54"/>
    </row>
    <row r="351" spans="4:13">
      <c r="D351" s="54"/>
      <c r="J351" s="54"/>
      <c r="L351" s="54"/>
      <c r="M351" s="54"/>
    </row>
    <row r="352" spans="4:13">
      <c r="D352" s="54"/>
      <c r="J352" s="54"/>
      <c r="L352" s="54"/>
      <c r="M352" s="54"/>
    </row>
    <row r="353" spans="4:13">
      <c r="D353" s="54"/>
      <c r="J353" s="54"/>
      <c r="L353" s="54"/>
      <c r="M353" s="54"/>
    </row>
    <row r="354" spans="4:13">
      <c r="D354" s="54"/>
      <c r="J354" s="54"/>
      <c r="L354" s="54"/>
      <c r="M354" s="54"/>
    </row>
    <row r="355" spans="4:13">
      <c r="D355" s="54"/>
      <c r="J355" s="54"/>
      <c r="L355" s="54"/>
      <c r="M355" s="54"/>
    </row>
    <row r="356" spans="4:13">
      <c r="D356" s="54"/>
      <c r="J356" s="54"/>
      <c r="L356" s="54"/>
      <c r="M356" s="54"/>
    </row>
    <row r="357" spans="4:13">
      <c r="D357" s="54"/>
      <c r="J357" s="54"/>
      <c r="L357" s="54"/>
      <c r="M357" s="54"/>
    </row>
    <row r="358" spans="4:13">
      <c r="D358" s="54"/>
      <c r="J358" s="54"/>
      <c r="L358" s="54"/>
      <c r="M358" s="54"/>
    </row>
    <row r="359" spans="4:13">
      <c r="D359" s="54"/>
      <c r="J359" s="54"/>
      <c r="L359" s="54"/>
      <c r="M359" s="54"/>
    </row>
    <row r="360" spans="4:13">
      <c r="D360" s="54"/>
      <c r="J360" s="54"/>
      <c r="L360" s="54"/>
      <c r="M360" s="54"/>
    </row>
    <row r="361" spans="4:13">
      <c r="D361" s="54"/>
      <c r="J361" s="54"/>
      <c r="L361" s="54"/>
      <c r="M361" s="54"/>
    </row>
    <row r="362" spans="4:13">
      <c r="D362" s="54"/>
      <c r="J362" s="54"/>
      <c r="L362" s="54"/>
      <c r="M362" s="54"/>
    </row>
    <row r="363" spans="4:13">
      <c r="D363" s="54"/>
      <c r="J363" s="54"/>
      <c r="L363" s="54"/>
      <c r="M363" s="54"/>
    </row>
    <row r="364" spans="4:13">
      <c r="D364" s="54"/>
      <c r="J364" s="54"/>
      <c r="L364" s="54"/>
      <c r="M364" s="54"/>
    </row>
    <row r="365" spans="4:13">
      <c r="D365" s="54"/>
      <c r="J365" s="54"/>
      <c r="L365" s="54"/>
      <c r="M365" s="54"/>
    </row>
    <row r="366" spans="4:13">
      <c r="D366" s="54"/>
      <c r="J366" s="54"/>
      <c r="L366" s="54"/>
      <c r="M366" s="54"/>
    </row>
    <row r="367" spans="4:13">
      <c r="D367" s="54"/>
      <c r="J367" s="54"/>
      <c r="L367" s="54"/>
      <c r="M367" s="54"/>
    </row>
    <row r="368" spans="4:13">
      <c r="D368" s="54"/>
      <c r="J368" s="54"/>
      <c r="L368" s="54"/>
      <c r="M368" s="54"/>
    </row>
    <row r="369" spans="4:13">
      <c r="D369" s="54"/>
      <c r="J369" s="54"/>
      <c r="L369" s="54"/>
      <c r="M369" s="54"/>
    </row>
    <row r="370" spans="4:13">
      <c r="D370" s="54"/>
      <c r="J370" s="54"/>
      <c r="L370" s="54"/>
      <c r="M370" s="54"/>
    </row>
    <row r="371" spans="4:13">
      <c r="D371" s="54"/>
      <c r="J371" s="54"/>
      <c r="L371" s="54"/>
      <c r="M371" s="54"/>
    </row>
    <row r="372" spans="4:13">
      <c r="D372" s="54"/>
      <c r="J372" s="54"/>
      <c r="L372" s="54"/>
      <c r="M372" s="54"/>
    </row>
    <row r="373" spans="4:13">
      <c r="D373" s="54"/>
      <c r="J373" s="54"/>
      <c r="L373" s="54"/>
      <c r="M373" s="54"/>
    </row>
    <row r="374" spans="4:13">
      <c r="D374" s="54"/>
      <c r="J374" s="54"/>
      <c r="L374" s="54"/>
      <c r="M374" s="54"/>
    </row>
    <row r="375" spans="4:13">
      <c r="D375" s="54"/>
      <c r="J375" s="54"/>
      <c r="L375" s="54"/>
      <c r="M375" s="54"/>
    </row>
    <row r="376" spans="4:13">
      <c r="D376" s="54"/>
      <c r="J376" s="54"/>
      <c r="L376" s="54"/>
      <c r="M376" s="54"/>
    </row>
    <row r="377" spans="4:13">
      <c r="D377" s="54"/>
      <c r="J377" s="54"/>
      <c r="L377" s="54"/>
      <c r="M377" s="54"/>
    </row>
    <row r="378" spans="4:13">
      <c r="D378" s="54"/>
      <c r="J378" s="54"/>
      <c r="L378" s="54"/>
      <c r="M378" s="54"/>
    </row>
    <row r="379" spans="4:13">
      <c r="D379" s="54"/>
      <c r="J379" s="54"/>
      <c r="L379" s="54"/>
      <c r="M379" s="54"/>
    </row>
    <row r="380" spans="4:13">
      <c r="D380" s="54"/>
      <c r="J380" s="54"/>
      <c r="L380" s="54"/>
      <c r="M380" s="54"/>
    </row>
    <row r="381" spans="4:13">
      <c r="D381" s="54"/>
      <c r="J381" s="54"/>
      <c r="L381" s="54"/>
      <c r="M381" s="54"/>
    </row>
    <row r="382" spans="4:13">
      <c r="D382" s="54"/>
      <c r="J382" s="54"/>
      <c r="L382" s="54"/>
      <c r="M382" s="54"/>
    </row>
    <row r="383" spans="4:13">
      <c r="D383" s="54"/>
      <c r="J383" s="54"/>
      <c r="L383" s="54"/>
      <c r="M383" s="54"/>
    </row>
    <row r="384" spans="4:13">
      <c r="D384" s="54"/>
      <c r="J384" s="54"/>
      <c r="L384" s="54"/>
      <c r="M384" s="54"/>
    </row>
    <row r="385" spans="4:13">
      <c r="D385" s="54"/>
      <c r="J385" s="54"/>
      <c r="L385" s="54"/>
      <c r="M385" s="54"/>
    </row>
    <row r="386" spans="4:13">
      <c r="D386" s="54"/>
      <c r="J386" s="54"/>
      <c r="L386" s="54"/>
      <c r="M386" s="54"/>
    </row>
    <row r="387" spans="4:13">
      <c r="D387" s="54"/>
      <c r="J387" s="54"/>
      <c r="L387" s="54"/>
      <c r="M387" s="54"/>
    </row>
    <row r="388" spans="4:13">
      <c r="D388" s="54"/>
      <c r="J388" s="54"/>
      <c r="L388" s="54"/>
      <c r="M388" s="54"/>
    </row>
    <row r="389" spans="4:13">
      <c r="D389" s="54"/>
      <c r="J389" s="54"/>
      <c r="L389" s="54"/>
      <c r="M389" s="54"/>
    </row>
    <row r="390" spans="4:13">
      <c r="D390" s="54"/>
      <c r="J390" s="54"/>
      <c r="L390" s="54"/>
      <c r="M390" s="54"/>
    </row>
    <row r="391" spans="4:13">
      <c r="D391" s="54"/>
      <c r="J391" s="54"/>
      <c r="L391" s="54"/>
      <c r="M391" s="54"/>
    </row>
    <row r="392" spans="4:13">
      <c r="D392" s="54"/>
      <c r="J392" s="54"/>
      <c r="L392" s="54"/>
      <c r="M392" s="54"/>
    </row>
    <row r="393" spans="4:13">
      <c r="D393" s="54"/>
      <c r="J393" s="54"/>
      <c r="L393" s="54"/>
      <c r="M393" s="54"/>
    </row>
    <row r="394" spans="4:13">
      <c r="D394" s="54"/>
      <c r="J394" s="54"/>
      <c r="L394" s="54"/>
      <c r="M394" s="54"/>
    </row>
    <row r="395" spans="4:13">
      <c r="D395" s="54"/>
      <c r="J395" s="54"/>
      <c r="L395" s="54"/>
      <c r="M395" s="54"/>
    </row>
    <row r="396" spans="4:13">
      <c r="D396" s="54"/>
      <c r="J396" s="54"/>
      <c r="L396" s="54"/>
      <c r="M396" s="54"/>
    </row>
    <row r="397" spans="4:13">
      <c r="D397" s="54"/>
      <c r="J397" s="54"/>
      <c r="L397" s="54"/>
      <c r="M397" s="54"/>
    </row>
    <row r="398" spans="4:13">
      <c r="D398" s="54"/>
      <c r="J398" s="54"/>
      <c r="L398" s="54"/>
      <c r="M398" s="54"/>
    </row>
    <row r="399" spans="4:13">
      <c r="D399" s="54"/>
      <c r="J399" s="54"/>
      <c r="L399" s="54"/>
      <c r="M399" s="54"/>
    </row>
    <row r="400" spans="4:13">
      <c r="D400" s="54"/>
      <c r="J400" s="54"/>
      <c r="L400" s="54"/>
      <c r="M400" s="54"/>
    </row>
    <row r="401" spans="4:13">
      <c r="D401" s="54"/>
      <c r="J401" s="54"/>
      <c r="L401" s="54"/>
      <c r="M401" s="54"/>
    </row>
    <row r="402" spans="4:13">
      <c r="D402" s="54"/>
      <c r="J402" s="54"/>
      <c r="L402" s="54"/>
      <c r="M402" s="54"/>
    </row>
    <row r="403" spans="4:13">
      <c r="D403" s="54"/>
      <c r="J403" s="54"/>
      <c r="L403" s="54"/>
      <c r="M403" s="54"/>
    </row>
    <row r="404" spans="4:13">
      <c r="D404" s="54"/>
      <c r="J404" s="54"/>
      <c r="L404" s="54"/>
      <c r="M404" s="54"/>
    </row>
    <row r="405" spans="4:13">
      <c r="D405" s="54"/>
      <c r="J405" s="54"/>
      <c r="L405" s="54"/>
      <c r="M405" s="54"/>
    </row>
    <row r="406" spans="4:13">
      <c r="D406" s="54"/>
      <c r="J406" s="54"/>
      <c r="L406" s="54"/>
      <c r="M406" s="54"/>
    </row>
    <row r="407" spans="4:13">
      <c r="D407" s="54"/>
      <c r="J407" s="54"/>
      <c r="L407" s="54"/>
      <c r="M407" s="54"/>
    </row>
    <row r="408" spans="4:13">
      <c r="D408" s="54"/>
      <c r="J408" s="54"/>
      <c r="L408" s="54"/>
      <c r="M408" s="54"/>
    </row>
    <row r="409" spans="4:13">
      <c r="D409" s="54"/>
      <c r="J409" s="54"/>
      <c r="L409" s="54"/>
      <c r="M409" s="54"/>
    </row>
    <row r="410" spans="4:13">
      <c r="D410" s="54"/>
      <c r="J410" s="54"/>
      <c r="L410" s="54"/>
      <c r="M410" s="54"/>
    </row>
    <row r="411" spans="4:13">
      <c r="D411" s="54"/>
      <c r="J411" s="54"/>
      <c r="L411" s="54"/>
      <c r="M411" s="54"/>
    </row>
    <row r="412" spans="4:13">
      <c r="D412" s="54"/>
      <c r="J412" s="54"/>
      <c r="L412" s="54"/>
      <c r="M412" s="54"/>
    </row>
    <row r="413" spans="4:13">
      <c r="D413" s="54"/>
      <c r="J413" s="54"/>
      <c r="L413" s="54"/>
      <c r="M413" s="54"/>
    </row>
    <row r="414" spans="4:13">
      <c r="D414" s="54"/>
      <c r="J414" s="54"/>
      <c r="L414" s="54"/>
      <c r="M414" s="54"/>
    </row>
    <row r="415" spans="4:13">
      <c r="D415" s="54"/>
      <c r="J415" s="54"/>
      <c r="L415" s="54"/>
      <c r="M415" s="54"/>
    </row>
    <row r="416" spans="4:13">
      <c r="D416" s="54"/>
      <c r="J416" s="54"/>
      <c r="L416" s="54"/>
      <c r="M416" s="54"/>
    </row>
    <row r="417" spans="4:13">
      <c r="D417" s="54"/>
      <c r="J417" s="54"/>
      <c r="L417" s="54"/>
      <c r="M417" s="54"/>
    </row>
    <row r="418" spans="4:13">
      <c r="D418" s="54"/>
      <c r="J418" s="54"/>
      <c r="L418" s="54"/>
      <c r="M418" s="54"/>
    </row>
    <row r="419" spans="4:13">
      <c r="D419" s="54"/>
      <c r="J419" s="54"/>
      <c r="L419" s="54"/>
      <c r="M419" s="54"/>
    </row>
    <row r="420" spans="4:13">
      <c r="D420" s="54"/>
      <c r="J420" s="54"/>
      <c r="L420" s="54"/>
      <c r="M420" s="54"/>
    </row>
    <row r="421" spans="4:13">
      <c r="D421" s="54"/>
      <c r="J421" s="54"/>
      <c r="L421" s="54"/>
      <c r="M421" s="54"/>
    </row>
    <row r="422" spans="4:13">
      <c r="D422" s="54"/>
      <c r="J422" s="54"/>
      <c r="L422" s="54"/>
      <c r="M422" s="54"/>
    </row>
    <row r="423" spans="4:13">
      <c r="D423" s="54"/>
      <c r="J423" s="54"/>
      <c r="L423" s="54"/>
      <c r="M423" s="54"/>
    </row>
    <row r="424" spans="4:13">
      <c r="D424" s="54"/>
      <c r="J424" s="54"/>
      <c r="L424" s="54"/>
      <c r="M424" s="54"/>
    </row>
    <row r="425" spans="4:13">
      <c r="D425" s="54"/>
      <c r="J425" s="54"/>
      <c r="L425" s="54"/>
      <c r="M425" s="54"/>
    </row>
    <row r="426" spans="4:13">
      <c r="D426" s="54"/>
      <c r="J426" s="54"/>
      <c r="L426" s="54"/>
      <c r="M426" s="54"/>
    </row>
    <row r="427" spans="4:13">
      <c r="D427" s="54"/>
      <c r="J427" s="54"/>
      <c r="L427" s="54"/>
      <c r="M427" s="54"/>
    </row>
    <row r="428" spans="4:13">
      <c r="D428" s="54"/>
      <c r="J428" s="54"/>
      <c r="L428" s="54"/>
      <c r="M428" s="54"/>
    </row>
    <row r="429" spans="4:13">
      <c r="D429" s="54"/>
      <c r="J429" s="54"/>
      <c r="L429" s="54"/>
      <c r="M429" s="54"/>
    </row>
    <row r="430" spans="4:13">
      <c r="D430" s="54"/>
      <c r="J430" s="54"/>
      <c r="L430" s="54"/>
      <c r="M430" s="54"/>
    </row>
    <row r="431" spans="4:13">
      <c r="D431" s="54"/>
      <c r="J431" s="54"/>
      <c r="L431" s="54"/>
      <c r="M431" s="54"/>
    </row>
    <row r="432" spans="4:13">
      <c r="D432" s="54"/>
      <c r="J432" s="54"/>
      <c r="L432" s="54"/>
      <c r="M432" s="54"/>
    </row>
    <row r="433" spans="4:13">
      <c r="D433" s="54"/>
      <c r="J433" s="54"/>
      <c r="L433" s="54"/>
      <c r="M433" s="54"/>
    </row>
    <row r="434" spans="4:13">
      <c r="D434" s="54"/>
      <c r="J434" s="54"/>
      <c r="L434" s="54"/>
      <c r="M434" s="54"/>
    </row>
    <row r="435" spans="4:13">
      <c r="D435" s="54"/>
      <c r="J435" s="54"/>
      <c r="L435" s="54"/>
      <c r="M435" s="54"/>
    </row>
    <row r="436" spans="4:13">
      <c r="D436" s="54"/>
      <c r="J436" s="54"/>
      <c r="L436" s="54"/>
      <c r="M436" s="54"/>
    </row>
    <row r="437" spans="4:13">
      <c r="D437" s="54"/>
      <c r="J437" s="54"/>
      <c r="L437" s="54"/>
      <c r="M437" s="54"/>
    </row>
    <row r="438" spans="4:13">
      <c r="D438" s="54"/>
      <c r="J438" s="54"/>
      <c r="L438" s="54"/>
      <c r="M438" s="54"/>
    </row>
    <row r="439" spans="4:13">
      <c r="D439" s="54"/>
      <c r="J439" s="54"/>
      <c r="L439" s="54"/>
      <c r="M439" s="54"/>
    </row>
    <row r="440" spans="4:13">
      <c r="D440" s="54"/>
      <c r="J440" s="54"/>
      <c r="L440" s="54"/>
      <c r="M440" s="54"/>
    </row>
    <row r="441" spans="4:13">
      <c r="D441" s="54"/>
      <c r="J441" s="54"/>
      <c r="L441" s="54"/>
      <c r="M441" s="54"/>
    </row>
    <row r="442" spans="4:13">
      <c r="D442" s="54"/>
      <c r="J442" s="54"/>
      <c r="L442" s="54"/>
      <c r="M442" s="54"/>
    </row>
    <row r="443" spans="4:13">
      <c r="D443" s="54"/>
      <c r="J443" s="54"/>
      <c r="L443" s="54"/>
      <c r="M443" s="54"/>
    </row>
    <row r="444" spans="4:13">
      <c r="D444" s="54"/>
      <c r="J444" s="54"/>
      <c r="L444" s="54"/>
      <c r="M444" s="54"/>
    </row>
    <row r="445" spans="4:13">
      <c r="D445" s="54"/>
      <c r="J445" s="54"/>
      <c r="L445" s="54"/>
      <c r="M445" s="54"/>
    </row>
    <row r="446" spans="4:13">
      <c r="D446" s="54"/>
      <c r="J446" s="54"/>
      <c r="L446" s="54"/>
      <c r="M446" s="54"/>
    </row>
    <row r="447" spans="4:13">
      <c r="D447" s="54"/>
      <c r="J447" s="54"/>
      <c r="L447" s="54"/>
      <c r="M447" s="54"/>
    </row>
    <row r="448" spans="4:13">
      <c r="D448" s="54"/>
      <c r="J448" s="54"/>
      <c r="L448" s="54"/>
      <c r="M448" s="54"/>
    </row>
    <row r="449" spans="4:13">
      <c r="D449" s="54"/>
      <c r="J449" s="54"/>
      <c r="L449" s="54"/>
      <c r="M449" s="54"/>
    </row>
    <row r="450" spans="4:13">
      <c r="D450" s="54"/>
      <c r="J450" s="54"/>
      <c r="L450" s="54"/>
      <c r="M450" s="54"/>
    </row>
    <row r="451" spans="4:13">
      <c r="D451" s="54"/>
      <c r="J451" s="54"/>
      <c r="L451" s="54"/>
      <c r="M451" s="54"/>
    </row>
    <row r="452" spans="4:13">
      <c r="D452" s="54"/>
      <c r="J452" s="54"/>
      <c r="L452" s="54"/>
      <c r="M452" s="54"/>
    </row>
    <row r="453" spans="4:13">
      <c r="D453" s="54"/>
      <c r="J453" s="54"/>
      <c r="L453" s="54"/>
      <c r="M453" s="54"/>
    </row>
    <row r="454" spans="4:13">
      <c r="D454" s="54"/>
      <c r="J454" s="54"/>
      <c r="L454" s="54"/>
      <c r="M454" s="54"/>
    </row>
    <row r="455" spans="4:13">
      <c r="D455" s="54"/>
      <c r="J455" s="54"/>
      <c r="L455" s="54"/>
      <c r="M455" s="54"/>
    </row>
    <row r="456" spans="4:13">
      <c r="D456" s="54"/>
      <c r="J456" s="54"/>
      <c r="L456" s="54"/>
      <c r="M456" s="54"/>
    </row>
    <row r="457" spans="4:13">
      <c r="D457" s="54"/>
      <c r="J457" s="54"/>
      <c r="L457" s="54"/>
      <c r="M457" s="54"/>
    </row>
    <row r="458" spans="4:13">
      <c r="D458" s="54"/>
      <c r="J458" s="54"/>
      <c r="L458" s="54"/>
      <c r="M458" s="54"/>
    </row>
    <row r="459" spans="4:13">
      <c r="D459" s="54"/>
      <c r="J459" s="54"/>
      <c r="L459" s="54"/>
      <c r="M459" s="54"/>
    </row>
    <row r="460" spans="4:13">
      <c r="D460" s="54"/>
      <c r="J460" s="54"/>
      <c r="L460" s="54"/>
      <c r="M460" s="54"/>
    </row>
    <row r="461" spans="4:13">
      <c r="D461" s="54"/>
      <c r="J461" s="54"/>
      <c r="L461" s="54"/>
      <c r="M461" s="54"/>
    </row>
    <row r="462" spans="4:13">
      <c r="D462" s="54"/>
      <c r="J462" s="54"/>
      <c r="L462" s="54"/>
      <c r="M462" s="54"/>
    </row>
    <row r="463" spans="4:13">
      <c r="D463" s="54"/>
      <c r="J463" s="54"/>
      <c r="L463" s="54"/>
      <c r="M463" s="54"/>
    </row>
    <row r="464" spans="4:13">
      <c r="D464" s="54"/>
      <c r="J464" s="54"/>
      <c r="L464" s="54"/>
      <c r="M464" s="54"/>
    </row>
    <row r="465" spans="4:13">
      <c r="D465" s="54"/>
      <c r="J465" s="54"/>
      <c r="L465" s="54"/>
      <c r="M465" s="54"/>
    </row>
    <row r="466" spans="4:13">
      <c r="D466" s="54"/>
      <c r="J466" s="54"/>
      <c r="L466" s="54"/>
      <c r="M466" s="54"/>
    </row>
    <row r="467" spans="4:13">
      <c r="D467" s="54"/>
      <c r="J467" s="54"/>
      <c r="L467" s="54"/>
      <c r="M467" s="54"/>
    </row>
    <row r="468" spans="4:13">
      <c r="D468" s="54"/>
      <c r="J468" s="54"/>
      <c r="L468" s="54"/>
      <c r="M468" s="54"/>
    </row>
    <row r="469" spans="4:13">
      <c r="D469" s="54"/>
      <c r="J469" s="54"/>
      <c r="L469" s="54"/>
      <c r="M469" s="54"/>
    </row>
    <row r="470" spans="4:13">
      <c r="D470" s="54"/>
      <c r="J470" s="54"/>
      <c r="L470" s="54"/>
      <c r="M470" s="54"/>
    </row>
    <row r="471" spans="4:13">
      <c r="D471" s="54"/>
      <c r="J471" s="54"/>
      <c r="L471" s="54"/>
      <c r="M471" s="54"/>
    </row>
    <row r="472" spans="4:13">
      <c r="D472" s="54"/>
      <c r="J472" s="54"/>
      <c r="L472" s="54"/>
      <c r="M472" s="54"/>
    </row>
    <row r="473" spans="4:13">
      <c r="D473" s="54"/>
      <c r="J473" s="54"/>
      <c r="L473" s="54"/>
      <c r="M473" s="54"/>
    </row>
    <row r="474" spans="4:13">
      <c r="D474" s="54"/>
      <c r="J474" s="54"/>
      <c r="L474" s="54"/>
      <c r="M474" s="54"/>
    </row>
    <row r="475" spans="4:13">
      <c r="D475" s="54"/>
      <c r="J475" s="54"/>
      <c r="L475" s="54"/>
      <c r="M475" s="54"/>
    </row>
    <row r="476" spans="4:13">
      <c r="D476" s="54"/>
      <c r="J476" s="54"/>
      <c r="L476" s="54"/>
      <c r="M476" s="54"/>
    </row>
    <row r="477" spans="4:13">
      <c r="D477" s="54"/>
      <c r="J477" s="54"/>
      <c r="L477" s="54"/>
      <c r="M477" s="54"/>
    </row>
    <row r="478" spans="4:13">
      <c r="D478" s="54"/>
      <c r="J478" s="54"/>
      <c r="L478" s="54"/>
      <c r="M478" s="54"/>
    </row>
    <row r="479" spans="4:13">
      <c r="D479" s="54"/>
      <c r="J479" s="54"/>
      <c r="L479" s="54"/>
      <c r="M479" s="54"/>
    </row>
    <row r="480" spans="4:13">
      <c r="D480" s="54"/>
      <c r="J480" s="54"/>
      <c r="L480" s="54"/>
      <c r="M480" s="54"/>
    </row>
    <row r="481" spans="4:13">
      <c r="D481" s="54"/>
      <c r="J481" s="54"/>
      <c r="L481" s="54"/>
      <c r="M481" s="54"/>
    </row>
    <row r="482" spans="4:13">
      <c r="D482" s="54"/>
      <c r="J482" s="54"/>
      <c r="L482" s="54"/>
      <c r="M482" s="54"/>
    </row>
    <row r="483" spans="4:13">
      <c r="D483" s="54"/>
      <c r="J483" s="54"/>
      <c r="L483" s="54"/>
      <c r="M483" s="54"/>
    </row>
    <row r="484" spans="4:13">
      <c r="D484" s="54"/>
      <c r="J484" s="54"/>
      <c r="L484" s="54"/>
      <c r="M484" s="54"/>
    </row>
    <row r="485" spans="4:13">
      <c r="D485" s="54"/>
      <c r="J485" s="54"/>
      <c r="L485" s="54"/>
      <c r="M485" s="54"/>
    </row>
    <row r="486" spans="4:13">
      <c r="D486" s="54"/>
      <c r="J486" s="54"/>
      <c r="L486" s="54"/>
      <c r="M486" s="54"/>
    </row>
    <row r="487" spans="4:13">
      <c r="D487" s="54"/>
      <c r="J487" s="54"/>
      <c r="L487" s="54"/>
      <c r="M487" s="54"/>
    </row>
    <row r="488" spans="4:13">
      <c r="D488" s="54"/>
      <c r="J488" s="54"/>
      <c r="L488" s="54"/>
      <c r="M488" s="54"/>
    </row>
    <row r="489" spans="4:13">
      <c r="D489" s="54"/>
      <c r="J489" s="54"/>
      <c r="L489" s="54"/>
      <c r="M489" s="54"/>
    </row>
    <row r="490" spans="4:13">
      <c r="D490" s="54"/>
      <c r="J490" s="54"/>
      <c r="L490" s="54"/>
      <c r="M490" s="54"/>
    </row>
    <row r="491" spans="4:13">
      <c r="D491" s="54"/>
      <c r="J491" s="54"/>
      <c r="L491" s="54"/>
      <c r="M491" s="54"/>
    </row>
    <row r="492" spans="4:13">
      <c r="D492" s="54"/>
      <c r="J492" s="54"/>
      <c r="L492" s="54"/>
      <c r="M492" s="54"/>
    </row>
    <row r="493" spans="4:13">
      <c r="D493" s="54"/>
      <c r="J493" s="54"/>
      <c r="L493" s="54"/>
      <c r="M493" s="54"/>
    </row>
    <row r="494" spans="4:13">
      <c r="D494" s="54"/>
      <c r="J494" s="54"/>
      <c r="L494" s="54"/>
      <c r="M494" s="54"/>
    </row>
    <row r="495" spans="4:13">
      <c r="D495" s="54"/>
      <c r="J495" s="54"/>
      <c r="L495" s="54"/>
      <c r="M495" s="54"/>
    </row>
    <row r="496" spans="4:13">
      <c r="D496" s="54"/>
      <c r="J496" s="54"/>
      <c r="L496" s="54"/>
      <c r="M496" s="54"/>
    </row>
    <row r="497" spans="4:13">
      <c r="D497" s="54"/>
      <c r="J497" s="54"/>
      <c r="L497" s="54"/>
      <c r="M497" s="54"/>
    </row>
    <row r="498" spans="4:13">
      <c r="D498" s="54"/>
      <c r="J498" s="54"/>
      <c r="L498" s="54"/>
      <c r="M498" s="54"/>
    </row>
    <row r="499" spans="4:13">
      <c r="D499" s="54"/>
      <c r="J499" s="54"/>
      <c r="L499" s="54"/>
      <c r="M499" s="54"/>
    </row>
    <row r="500" spans="4:13">
      <c r="D500" s="54"/>
      <c r="J500" s="54"/>
      <c r="L500" s="54"/>
      <c r="M500" s="54"/>
    </row>
    <row r="501" spans="4:13">
      <c r="D501" s="54"/>
      <c r="J501" s="54"/>
      <c r="L501" s="54"/>
      <c r="M501" s="54"/>
    </row>
    <row r="502" spans="4:13">
      <c r="D502" s="54"/>
      <c r="J502" s="54"/>
      <c r="L502" s="54"/>
      <c r="M502" s="54"/>
    </row>
    <row r="503" spans="4:13">
      <c r="D503" s="54"/>
      <c r="J503" s="54"/>
      <c r="L503" s="54"/>
      <c r="M503" s="54"/>
    </row>
    <row r="504" spans="4:13">
      <c r="D504" s="54"/>
      <c r="J504" s="54"/>
      <c r="L504" s="54"/>
      <c r="M504" s="54"/>
    </row>
    <row r="505" spans="4:13">
      <c r="D505" s="54"/>
      <c r="J505" s="54"/>
      <c r="L505" s="54"/>
      <c r="M505" s="54"/>
    </row>
    <row r="506" spans="4:13">
      <c r="D506" s="54"/>
      <c r="J506" s="54"/>
      <c r="L506" s="54"/>
      <c r="M506" s="54"/>
    </row>
    <row r="507" spans="4:13">
      <c r="D507" s="54"/>
      <c r="J507" s="54"/>
      <c r="L507" s="54"/>
      <c r="M507" s="54"/>
    </row>
    <row r="508" spans="4:13">
      <c r="D508" s="54"/>
      <c r="J508" s="54"/>
      <c r="L508" s="54"/>
      <c r="M508" s="54"/>
    </row>
    <row r="509" spans="4:13">
      <c r="D509" s="54"/>
      <c r="J509" s="54"/>
      <c r="L509" s="54"/>
      <c r="M509" s="54"/>
    </row>
    <row r="510" spans="4:13">
      <c r="D510" s="54"/>
      <c r="J510" s="54"/>
      <c r="L510" s="54"/>
      <c r="M510" s="54"/>
    </row>
    <row r="511" spans="4:13">
      <c r="D511" s="54"/>
      <c r="J511" s="54"/>
      <c r="L511" s="54"/>
      <c r="M511" s="54"/>
    </row>
    <row r="512" spans="4:13">
      <c r="D512" s="54"/>
      <c r="J512" s="54"/>
      <c r="L512" s="54"/>
      <c r="M512" s="54"/>
    </row>
    <row r="513" spans="4:13">
      <c r="D513" s="54"/>
      <c r="J513" s="54"/>
      <c r="L513" s="54"/>
      <c r="M513" s="54"/>
    </row>
    <row r="514" spans="4:13">
      <c r="D514" s="54"/>
      <c r="J514" s="54"/>
      <c r="L514" s="54"/>
      <c r="M514" s="54"/>
    </row>
    <row r="515" spans="4:13">
      <c r="D515" s="54"/>
      <c r="J515" s="54"/>
      <c r="L515" s="54"/>
      <c r="M515" s="54"/>
    </row>
    <row r="516" spans="4:13">
      <c r="D516" s="54"/>
      <c r="J516" s="54"/>
      <c r="L516" s="54"/>
      <c r="M516" s="54"/>
    </row>
    <row r="517" spans="4:13">
      <c r="D517" s="54"/>
      <c r="J517" s="54"/>
      <c r="L517" s="54"/>
      <c r="M517" s="54"/>
    </row>
    <row r="518" spans="4:13">
      <c r="D518" s="54"/>
      <c r="J518" s="54"/>
      <c r="L518" s="54"/>
      <c r="M518" s="54"/>
    </row>
    <row r="519" spans="4:13">
      <c r="D519" s="54"/>
      <c r="J519" s="54"/>
      <c r="L519" s="54"/>
      <c r="M519" s="54"/>
    </row>
    <row r="520" spans="4:13">
      <c r="D520" s="54"/>
      <c r="J520" s="54"/>
      <c r="L520" s="54"/>
      <c r="M520" s="54"/>
    </row>
    <row r="521" spans="4:13">
      <c r="D521" s="54"/>
      <c r="J521" s="54"/>
      <c r="L521" s="54"/>
      <c r="M521" s="54"/>
    </row>
    <row r="522" spans="4:13">
      <c r="D522" s="54"/>
      <c r="J522" s="54"/>
      <c r="L522" s="54"/>
      <c r="M522" s="54"/>
    </row>
    <row r="523" spans="4:13">
      <c r="D523" s="54"/>
      <c r="J523" s="54"/>
      <c r="L523" s="54"/>
      <c r="M523" s="54"/>
    </row>
    <row r="524" spans="4:13">
      <c r="D524" s="54"/>
      <c r="J524" s="54"/>
      <c r="L524" s="54"/>
      <c r="M524" s="54"/>
    </row>
    <row r="525" spans="4:13">
      <c r="D525" s="54"/>
      <c r="J525" s="54"/>
      <c r="L525" s="54"/>
      <c r="M525" s="54"/>
    </row>
    <row r="526" spans="4:13">
      <c r="D526" s="54"/>
      <c r="J526" s="54"/>
      <c r="L526" s="54"/>
      <c r="M526" s="54"/>
    </row>
    <row r="527" spans="4:13">
      <c r="D527" s="54"/>
      <c r="J527" s="54"/>
      <c r="L527" s="54"/>
      <c r="M527" s="54"/>
    </row>
    <row r="528" spans="4:13">
      <c r="D528" s="54"/>
      <c r="J528" s="54"/>
      <c r="L528" s="54"/>
      <c r="M528" s="54"/>
    </row>
    <row r="529" spans="4:13">
      <c r="D529" s="54"/>
      <c r="J529" s="54"/>
      <c r="L529" s="54"/>
      <c r="M529" s="54"/>
    </row>
    <row r="530" spans="4:13">
      <c r="D530" s="54"/>
      <c r="J530" s="54"/>
      <c r="L530" s="54"/>
      <c r="M530" s="54"/>
    </row>
    <row r="531" spans="4:13">
      <c r="D531" s="54"/>
      <c r="J531" s="54"/>
      <c r="L531" s="54"/>
      <c r="M531" s="54"/>
    </row>
    <row r="532" spans="4:13">
      <c r="D532" s="54"/>
      <c r="J532" s="54"/>
      <c r="L532" s="54"/>
      <c r="M532" s="54"/>
    </row>
    <row r="533" spans="4:13">
      <c r="D533" s="54"/>
      <c r="J533" s="54"/>
      <c r="L533" s="54"/>
      <c r="M533" s="54"/>
    </row>
    <row r="534" spans="4:13">
      <c r="D534" s="54"/>
      <c r="J534" s="54"/>
      <c r="L534" s="54"/>
      <c r="M534" s="54"/>
    </row>
    <row r="535" spans="4:13">
      <c r="D535" s="54"/>
      <c r="J535" s="54"/>
      <c r="L535" s="54"/>
      <c r="M535" s="54"/>
    </row>
    <row r="536" spans="4:13">
      <c r="D536" s="54"/>
      <c r="J536" s="54"/>
      <c r="L536" s="54"/>
      <c r="M536" s="54"/>
    </row>
    <row r="537" spans="4:13">
      <c r="D537" s="54"/>
      <c r="J537" s="54"/>
      <c r="L537" s="54"/>
      <c r="M537" s="54"/>
    </row>
    <row r="538" spans="4:13">
      <c r="D538" s="54"/>
      <c r="J538" s="54"/>
      <c r="L538" s="54"/>
      <c r="M538" s="54"/>
    </row>
    <row r="539" spans="4:13">
      <c r="D539" s="54"/>
      <c r="J539" s="54"/>
      <c r="L539" s="54"/>
      <c r="M539" s="54"/>
    </row>
    <row r="540" spans="4:13">
      <c r="D540" s="54"/>
      <c r="J540" s="54"/>
      <c r="L540" s="54"/>
      <c r="M540" s="54"/>
    </row>
    <row r="541" spans="4:13">
      <c r="D541" s="54"/>
      <c r="J541" s="54"/>
      <c r="L541" s="54"/>
      <c r="M541" s="54"/>
    </row>
    <row r="542" spans="4:13">
      <c r="D542" s="54"/>
      <c r="J542" s="54"/>
      <c r="L542" s="54"/>
      <c r="M542" s="54"/>
    </row>
    <row r="543" spans="4:13">
      <c r="D543" s="54"/>
      <c r="J543" s="54"/>
      <c r="L543" s="54"/>
      <c r="M543" s="54"/>
    </row>
    <row r="544" spans="4:13">
      <c r="D544" s="54"/>
      <c r="J544" s="54"/>
      <c r="L544" s="54"/>
      <c r="M544" s="54"/>
    </row>
    <row r="545" spans="4:13">
      <c r="D545" s="54"/>
      <c r="J545" s="54"/>
      <c r="L545" s="54"/>
      <c r="M545" s="54"/>
    </row>
    <row r="546" spans="4:13">
      <c r="D546" s="54"/>
      <c r="J546" s="54"/>
      <c r="L546" s="54"/>
      <c r="M546" s="54"/>
    </row>
    <row r="547" spans="4:13">
      <c r="D547" s="54"/>
      <c r="J547" s="54"/>
      <c r="L547" s="54"/>
      <c r="M547" s="54"/>
    </row>
    <row r="548" spans="4:13">
      <c r="D548" s="54"/>
      <c r="J548" s="54"/>
      <c r="L548" s="54"/>
      <c r="M548" s="54"/>
    </row>
    <row r="549" spans="4:13">
      <c r="D549" s="54"/>
      <c r="J549" s="54"/>
      <c r="L549" s="54"/>
      <c r="M549" s="54"/>
    </row>
    <row r="550" spans="4:13">
      <c r="D550" s="54"/>
      <c r="J550" s="54"/>
      <c r="L550" s="54"/>
      <c r="M550" s="54"/>
    </row>
    <row r="551" spans="4:13">
      <c r="D551" s="54"/>
      <c r="J551" s="54"/>
      <c r="L551" s="54"/>
      <c r="M551" s="54"/>
    </row>
    <row r="552" spans="4:13">
      <c r="D552" s="54"/>
      <c r="J552" s="54"/>
      <c r="L552" s="54"/>
      <c r="M552" s="54"/>
    </row>
    <row r="553" spans="4:13">
      <c r="D553" s="54"/>
      <c r="J553" s="54"/>
      <c r="L553" s="54"/>
      <c r="M553" s="54"/>
    </row>
    <row r="554" spans="4:13">
      <c r="D554" s="54"/>
      <c r="J554" s="54"/>
      <c r="L554" s="54"/>
      <c r="M554" s="54"/>
    </row>
    <row r="555" spans="4:13">
      <c r="D555" s="54"/>
      <c r="J555" s="54"/>
      <c r="L555" s="54"/>
      <c r="M555" s="54"/>
    </row>
    <row r="556" spans="4:13">
      <c r="D556" s="54"/>
      <c r="J556" s="54"/>
      <c r="L556" s="54"/>
      <c r="M556" s="54"/>
    </row>
    <row r="557" spans="4:13">
      <c r="D557" s="54"/>
      <c r="J557" s="54"/>
      <c r="L557" s="54"/>
      <c r="M557" s="54"/>
    </row>
    <row r="558" spans="4:13">
      <c r="D558" s="54"/>
      <c r="J558" s="54"/>
      <c r="L558" s="54"/>
      <c r="M558" s="54"/>
    </row>
    <row r="559" spans="4:13">
      <c r="D559" s="54"/>
      <c r="J559" s="54"/>
      <c r="L559" s="54"/>
      <c r="M559" s="54"/>
    </row>
    <row r="560" spans="4:13">
      <c r="D560" s="54"/>
      <c r="J560" s="54"/>
      <c r="L560" s="54"/>
      <c r="M560" s="54"/>
    </row>
    <row r="561" spans="4:13">
      <c r="D561" s="54"/>
      <c r="J561" s="54"/>
      <c r="L561" s="54"/>
      <c r="M561" s="54"/>
    </row>
    <row r="562" spans="4:13">
      <c r="D562" s="54"/>
      <c r="J562" s="54"/>
      <c r="L562" s="54"/>
      <c r="M562" s="54"/>
    </row>
    <row r="563" spans="4:13">
      <c r="D563" s="54"/>
      <c r="J563" s="54"/>
      <c r="L563" s="54"/>
      <c r="M563" s="54"/>
    </row>
    <row r="564" spans="4:13">
      <c r="D564" s="54"/>
      <c r="J564" s="54"/>
      <c r="L564" s="54"/>
      <c r="M564" s="54"/>
    </row>
    <row r="565" spans="4:13">
      <c r="D565" s="54"/>
      <c r="J565" s="54"/>
      <c r="L565" s="54"/>
      <c r="M565" s="54"/>
    </row>
    <row r="566" spans="4:13">
      <c r="D566" s="54"/>
      <c r="J566" s="54"/>
      <c r="L566" s="54"/>
      <c r="M566" s="54"/>
    </row>
    <row r="567" spans="4:13">
      <c r="D567" s="54"/>
      <c r="J567" s="54"/>
      <c r="L567" s="54"/>
      <c r="M567" s="54"/>
    </row>
    <row r="568" spans="4:13">
      <c r="D568" s="54"/>
      <c r="J568" s="54"/>
      <c r="L568" s="54"/>
      <c r="M568" s="54"/>
    </row>
    <row r="569" spans="4:13">
      <c r="D569" s="54"/>
      <c r="J569" s="54"/>
      <c r="L569" s="54"/>
      <c r="M569" s="54"/>
    </row>
    <row r="570" spans="4:13">
      <c r="D570" s="54"/>
      <c r="J570" s="54"/>
      <c r="L570" s="54"/>
      <c r="M570" s="54"/>
    </row>
    <row r="571" spans="4:13">
      <c r="D571" s="54"/>
      <c r="J571" s="54"/>
      <c r="L571" s="54"/>
      <c r="M571" s="54"/>
    </row>
    <row r="572" spans="4:13">
      <c r="D572" s="54"/>
      <c r="J572" s="54"/>
      <c r="L572" s="54"/>
      <c r="M572" s="54"/>
    </row>
    <row r="573" spans="4:13">
      <c r="D573" s="54"/>
      <c r="J573" s="54"/>
      <c r="L573" s="54"/>
      <c r="M573" s="54"/>
    </row>
    <row r="574" spans="4:13">
      <c r="D574" s="54"/>
      <c r="J574" s="54"/>
      <c r="L574" s="54"/>
      <c r="M574" s="54"/>
    </row>
    <row r="575" spans="4:13">
      <c r="D575" s="54"/>
      <c r="J575" s="54"/>
      <c r="L575" s="54"/>
      <c r="M575" s="54"/>
    </row>
    <row r="576" spans="4:13">
      <c r="D576" s="54"/>
      <c r="J576" s="54"/>
      <c r="L576" s="54"/>
      <c r="M576" s="54"/>
    </row>
    <row r="577" spans="4:13">
      <c r="D577" s="54"/>
      <c r="J577" s="54"/>
      <c r="L577" s="54"/>
      <c r="M577" s="54"/>
    </row>
    <row r="578" spans="4:13">
      <c r="D578" s="54"/>
      <c r="J578" s="54"/>
      <c r="L578" s="54"/>
      <c r="M578" s="54"/>
    </row>
    <row r="579" spans="4:13">
      <c r="D579" s="54"/>
      <c r="J579" s="54"/>
      <c r="L579" s="54"/>
      <c r="M579" s="54"/>
    </row>
    <row r="580" spans="4:13">
      <c r="D580" s="54"/>
      <c r="J580" s="54"/>
      <c r="L580" s="54"/>
      <c r="M580" s="54"/>
    </row>
    <row r="581" spans="4:13">
      <c r="D581" s="54"/>
      <c r="J581" s="54"/>
      <c r="L581" s="54"/>
      <c r="M581" s="54"/>
    </row>
    <row r="582" spans="4:13">
      <c r="D582" s="54"/>
      <c r="J582" s="54"/>
      <c r="L582" s="54"/>
      <c r="M582" s="54"/>
    </row>
    <row r="583" spans="4:13">
      <c r="D583" s="54"/>
      <c r="J583" s="54"/>
      <c r="L583" s="54"/>
      <c r="M583" s="54"/>
    </row>
    <row r="584" spans="4:13">
      <c r="D584" s="54"/>
      <c r="J584" s="54"/>
      <c r="L584" s="54"/>
      <c r="M584" s="54"/>
    </row>
    <row r="585" spans="4:13">
      <c r="D585" s="54"/>
      <c r="J585" s="54"/>
      <c r="L585" s="54"/>
      <c r="M585" s="54"/>
    </row>
    <row r="586" spans="4:13">
      <c r="D586" s="54"/>
      <c r="J586" s="54"/>
      <c r="L586" s="54"/>
      <c r="M586" s="54"/>
    </row>
    <row r="587" spans="4:13">
      <c r="D587" s="54"/>
      <c r="J587" s="54"/>
      <c r="L587" s="54"/>
      <c r="M587" s="54"/>
    </row>
    <row r="588" spans="4:13">
      <c r="D588" s="54"/>
      <c r="J588" s="54"/>
      <c r="L588" s="54"/>
      <c r="M588" s="54"/>
    </row>
    <row r="589" spans="4:13">
      <c r="D589" s="54"/>
      <c r="J589" s="54"/>
      <c r="L589" s="54"/>
      <c r="M589" s="54"/>
    </row>
    <row r="590" spans="4:13">
      <c r="D590" s="54"/>
      <c r="J590" s="54"/>
      <c r="L590" s="54"/>
      <c r="M590" s="54"/>
    </row>
    <row r="591" spans="4:13">
      <c r="D591" s="54"/>
      <c r="J591" s="54"/>
      <c r="L591" s="54"/>
      <c r="M591" s="54"/>
    </row>
    <row r="592" spans="4:13">
      <c r="D592" s="54"/>
      <c r="J592" s="54"/>
      <c r="L592" s="54"/>
      <c r="M592" s="54"/>
    </row>
    <row r="593" spans="4:13">
      <c r="D593" s="54"/>
      <c r="J593" s="54"/>
      <c r="L593" s="54"/>
      <c r="M593" s="54"/>
    </row>
    <row r="594" spans="4:13">
      <c r="D594" s="54"/>
      <c r="J594" s="54"/>
      <c r="L594" s="54"/>
      <c r="M594" s="54"/>
    </row>
    <row r="595" spans="4:13">
      <c r="D595" s="54"/>
      <c r="J595" s="54"/>
      <c r="L595" s="54"/>
      <c r="M595" s="54"/>
    </row>
    <row r="596" spans="4:13">
      <c r="D596" s="54"/>
      <c r="J596" s="54"/>
      <c r="L596" s="54"/>
      <c r="M596" s="54"/>
    </row>
    <row r="597" spans="4:13">
      <c r="D597" s="54"/>
      <c r="J597" s="54"/>
      <c r="L597" s="54"/>
      <c r="M597" s="54"/>
    </row>
    <row r="598" spans="4:13">
      <c r="D598" s="54"/>
      <c r="J598" s="54"/>
      <c r="L598" s="54"/>
      <c r="M598" s="54"/>
    </row>
    <row r="599" spans="4:13">
      <c r="D599" s="54"/>
      <c r="J599" s="54"/>
      <c r="L599" s="54"/>
      <c r="M599" s="54"/>
    </row>
    <row r="600" spans="4:13">
      <c r="D600" s="54"/>
      <c r="J600" s="54"/>
      <c r="L600" s="54"/>
      <c r="M600" s="54"/>
    </row>
    <row r="601" spans="4:13">
      <c r="D601" s="54"/>
      <c r="J601" s="54"/>
      <c r="L601" s="54"/>
      <c r="M601" s="54"/>
    </row>
    <row r="602" spans="4:13">
      <c r="D602" s="54"/>
      <c r="J602" s="54"/>
      <c r="L602" s="54"/>
      <c r="M602" s="54"/>
    </row>
    <row r="603" spans="4:13">
      <c r="D603" s="54"/>
      <c r="J603" s="54"/>
      <c r="L603" s="54"/>
      <c r="M603" s="54"/>
    </row>
    <row r="604" spans="4:13">
      <c r="D604" s="54"/>
      <c r="J604" s="54"/>
      <c r="L604" s="54"/>
      <c r="M604" s="54"/>
    </row>
    <row r="605" spans="4:13">
      <c r="D605" s="54"/>
      <c r="J605" s="54"/>
      <c r="L605" s="54"/>
      <c r="M605" s="54"/>
    </row>
    <row r="606" spans="4:13">
      <c r="D606" s="54"/>
      <c r="J606" s="54"/>
      <c r="L606" s="54"/>
      <c r="M606" s="54"/>
    </row>
    <row r="607" spans="4:13">
      <c r="D607" s="54"/>
      <c r="J607" s="54"/>
      <c r="L607" s="54"/>
      <c r="M607" s="54"/>
    </row>
    <row r="608" spans="4:13">
      <c r="D608" s="54"/>
      <c r="J608" s="54"/>
      <c r="L608" s="54"/>
      <c r="M608" s="54"/>
    </row>
    <row r="609" spans="4:13">
      <c r="D609" s="54"/>
      <c r="J609" s="54"/>
      <c r="L609" s="54"/>
      <c r="M609" s="54"/>
    </row>
    <row r="610" spans="4:13">
      <c r="D610" s="54"/>
      <c r="J610" s="54"/>
      <c r="L610" s="54"/>
      <c r="M610" s="54"/>
    </row>
    <row r="611" spans="4:13">
      <c r="D611" s="54"/>
      <c r="J611" s="54"/>
      <c r="L611" s="54"/>
      <c r="M611" s="54"/>
    </row>
    <row r="612" spans="4:13">
      <c r="D612" s="54"/>
      <c r="J612" s="54"/>
      <c r="L612" s="54"/>
      <c r="M612" s="54"/>
    </row>
    <row r="613" spans="4:13">
      <c r="D613" s="54"/>
      <c r="J613" s="54"/>
      <c r="L613" s="54"/>
      <c r="M613" s="54"/>
    </row>
    <row r="614" spans="4:13">
      <c r="D614" s="54"/>
      <c r="J614" s="54"/>
      <c r="L614" s="54"/>
      <c r="M614" s="54"/>
    </row>
    <row r="615" spans="4:13">
      <c r="D615" s="54"/>
      <c r="J615" s="54"/>
      <c r="L615" s="54"/>
      <c r="M615" s="54"/>
    </row>
    <row r="616" spans="4:13">
      <c r="D616" s="54"/>
      <c r="J616" s="54"/>
      <c r="L616" s="54"/>
      <c r="M616" s="54"/>
    </row>
    <row r="617" spans="4:13">
      <c r="D617" s="54"/>
      <c r="J617" s="54"/>
      <c r="L617" s="54"/>
      <c r="M617" s="54"/>
    </row>
    <row r="618" spans="4:13">
      <c r="D618" s="54"/>
      <c r="J618" s="54"/>
      <c r="L618" s="54"/>
      <c r="M618" s="54"/>
    </row>
    <row r="619" spans="4:13">
      <c r="D619" s="54"/>
      <c r="J619" s="54"/>
      <c r="L619" s="54"/>
      <c r="M619" s="54"/>
    </row>
    <row r="620" spans="4:13">
      <c r="D620" s="54"/>
      <c r="J620" s="54"/>
      <c r="L620" s="54"/>
      <c r="M620" s="54"/>
    </row>
    <row r="621" spans="4:13">
      <c r="D621" s="54"/>
      <c r="J621" s="54"/>
      <c r="L621" s="54"/>
      <c r="M621" s="54"/>
    </row>
    <row r="622" spans="4:13">
      <c r="D622" s="54"/>
      <c r="J622" s="54"/>
      <c r="L622" s="54"/>
      <c r="M622" s="54"/>
    </row>
    <row r="623" spans="4:13">
      <c r="D623" s="54"/>
      <c r="J623" s="54"/>
      <c r="L623" s="54"/>
      <c r="M623" s="54"/>
    </row>
    <row r="624" spans="4:13">
      <c r="D624" s="54"/>
      <c r="J624" s="54"/>
      <c r="L624" s="54"/>
      <c r="M624" s="54"/>
    </row>
    <row r="625" spans="4:13">
      <c r="D625" s="54"/>
      <c r="J625" s="54"/>
      <c r="L625" s="54"/>
      <c r="M625" s="54"/>
    </row>
    <row r="626" spans="4:13">
      <c r="D626" s="54"/>
      <c r="J626" s="54"/>
      <c r="L626" s="54"/>
      <c r="M626" s="54"/>
    </row>
    <row r="627" spans="4:13">
      <c r="D627" s="54"/>
      <c r="J627" s="54"/>
      <c r="L627" s="54"/>
      <c r="M627" s="54"/>
    </row>
    <row r="628" spans="4:13">
      <c r="D628" s="54"/>
      <c r="J628" s="54"/>
      <c r="L628" s="54"/>
      <c r="M628" s="54"/>
    </row>
    <row r="629" spans="4:13">
      <c r="D629" s="54"/>
      <c r="J629" s="54"/>
      <c r="L629" s="54"/>
      <c r="M629" s="54"/>
    </row>
    <row r="630" spans="4:13">
      <c r="D630" s="54"/>
      <c r="J630" s="54"/>
      <c r="L630" s="54"/>
      <c r="M630" s="54"/>
    </row>
    <row r="631" spans="4:13">
      <c r="D631" s="54"/>
      <c r="J631" s="54"/>
      <c r="L631" s="54"/>
      <c r="M631" s="54"/>
    </row>
    <row r="632" spans="4:13">
      <c r="D632" s="54"/>
      <c r="J632" s="54"/>
      <c r="L632" s="54"/>
      <c r="M632" s="54"/>
    </row>
    <row r="633" spans="4:13">
      <c r="D633" s="54"/>
      <c r="J633" s="54"/>
      <c r="L633" s="54"/>
      <c r="M633" s="54"/>
    </row>
    <row r="634" spans="4:13">
      <c r="D634" s="54"/>
      <c r="J634" s="54"/>
      <c r="L634" s="54"/>
      <c r="M634" s="54"/>
    </row>
    <row r="635" spans="4:13">
      <c r="D635" s="54"/>
      <c r="J635" s="54"/>
      <c r="L635" s="54"/>
      <c r="M635" s="54"/>
    </row>
    <row r="636" spans="4:13">
      <c r="D636" s="54"/>
      <c r="J636" s="54"/>
      <c r="L636" s="54"/>
      <c r="M636" s="54"/>
    </row>
    <row r="637" spans="4:13">
      <c r="D637" s="54"/>
      <c r="J637" s="54"/>
      <c r="L637" s="54"/>
      <c r="M637" s="54"/>
    </row>
    <row r="638" spans="4:13">
      <c r="D638" s="54"/>
      <c r="J638" s="54"/>
      <c r="L638" s="54"/>
      <c r="M638" s="54"/>
    </row>
    <row r="639" spans="4:13">
      <c r="D639" s="54"/>
      <c r="J639" s="54"/>
      <c r="L639" s="54"/>
      <c r="M639" s="54"/>
    </row>
    <row r="640" spans="4:13">
      <c r="D640" s="54"/>
      <c r="J640" s="54"/>
      <c r="L640" s="54"/>
      <c r="M640" s="54"/>
    </row>
    <row r="641" spans="4:13">
      <c r="D641" s="54"/>
      <c r="J641" s="54"/>
      <c r="L641" s="54"/>
      <c r="M641" s="54"/>
    </row>
    <row r="642" spans="4:13">
      <c r="D642" s="54"/>
      <c r="J642" s="54"/>
      <c r="L642" s="54"/>
      <c r="M642" s="54"/>
    </row>
    <row r="643" spans="4:13">
      <c r="D643" s="54"/>
      <c r="J643" s="54"/>
      <c r="L643" s="54"/>
      <c r="M643" s="54"/>
    </row>
    <row r="644" spans="4:13">
      <c r="D644" s="54"/>
      <c r="J644" s="54"/>
      <c r="L644" s="54"/>
      <c r="M644" s="54"/>
    </row>
    <row r="645" spans="4:13">
      <c r="D645" s="54"/>
      <c r="J645" s="54"/>
      <c r="L645" s="54"/>
      <c r="M645" s="54"/>
    </row>
    <row r="646" spans="4:13">
      <c r="D646" s="54"/>
      <c r="J646" s="54"/>
      <c r="L646" s="54"/>
      <c r="M646" s="54"/>
    </row>
    <row r="647" spans="4:13">
      <c r="D647" s="54"/>
      <c r="J647" s="54"/>
      <c r="L647" s="54"/>
      <c r="M647" s="54"/>
    </row>
    <row r="648" spans="4:13">
      <c r="D648" s="54"/>
      <c r="J648" s="54"/>
      <c r="L648" s="54"/>
      <c r="M648" s="54"/>
    </row>
    <row r="649" spans="4:13">
      <c r="D649" s="54"/>
      <c r="J649" s="54"/>
      <c r="L649" s="54"/>
      <c r="M649" s="54"/>
    </row>
    <row r="650" spans="4:13">
      <c r="D650" s="54"/>
      <c r="J650" s="54"/>
      <c r="L650" s="54"/>
      <c r="M650" s="54"/>
    </row>
    <row r="651" spans="4:13">
      <c r="D651" s="54"/>
      <c r="J651" s="54"/>
      <c r="L651" s="54"/>
      <c r="M651" s="54"/>
    </row>
    <row r="652" spans="4:13">
      <c r="D652" s="54"/>
      <c r="J652" s="54"/>
      <c r="L652" s="54"/>
      <c r="M652" s="54"/>
    </row>
    <row r="653" spans="4:13">
      <c r="D653" s="54"/>
      <c r="J653" s="54"/>
      <c r="L653" s="54"/>
      <c r="M653" s="54"/>
    </row>
    <row r="654" spans="4:13">
      <c r="D654" s="54"/>
      <c r="J654" s="54"/>
      <c r="L654" s="54"/>
      <c r="M654" s="54"/>
    </row>
    <row r="655" spans="4:13">
      <c r="D655" s="54"/>
      <c r="J655" s="54"/>
      <c r="L655" s="54"/>
      <c r="M655" s="54"/>
    </row>
    <row r="656" spans="4:13">
      <c r="D656" s="54"/>
      <c r="J656" s="54"/>
      <c r="L656" s="54"/>
      <c r="M656" s="54"/>
    </row>
    <row r="657" spans="4:13">
      <c r="D657" s="54"/>
      <c r="J657" s="54"/>
      <c r="L657" s="54"/>
      <c r="M657" s="54"/>
    </row>
    <row r="658" spans="4:13">
      <c r="D658" s="54"/>
      <c r="J658" s="54"/>
      <c r="L658" s="54"/>
      <c r="M658" s="54"/>
    </row>
    <row r="659" spans="4:13">
      <c r="D659" s="54"/>
      <c r="J659" s="54"/>
      <c r="L659" s="54"/>
      <c r="M659" s="54"/>
    </row>
    <row r="660" spans="4:13">
      <c r="D660" s="54"/>
      <c r="J660" s="54"/>
      <c r="L660" s="54"/>
      <c r="M660" s="54"/>
    </row>
    <row r="661" spans="4:13">
      <c r="D661" s="54"/>
      <c r="J661" s="54"/>
      <c r="L661" s="54"/>
      <c r="M661" s="54"/>
    </row>
    <row r="662" spans="4:13">
      <c r="D662" s="54"/>
      <c r="J662" s="54"/>
      <c r="L662" s="54"/>
      <c r="M662" s="54"/>
    </row>
    <row r="663" spans="4:13">
      <c r="D663" s="54"/>
      <c r="J663" s="54"/>
      <c r="L663" s="54"/>
      <c r="M663" s="54"/>
    </row>
    <row r="664" spans="4:13">
      <c r="D664" s="54"/>
      <c r="J664" s="54"/>
      <c r="L664" s="54"/>
      <c r="M664" s="54"/>
    </row>
    <row r="665" spans="4:13">
      <c r="D665" s="54"/>
      <c r="J665" s="54"/>
      <c r="L665" s="54"/>
      <c r="M665" s="54"/>
    </row>
    <row r="666" spans="4:13">
      <c r="D666" s="54"/>
      <c r="J666" s="54"/>
      <c r="L666" s="54"/>
      <c r="M666" s="54"/>
    </row>
    <row r="667" spans="4:13">
      <c r="D667" s="54"/>
      <c r="J667" s="54"/>
      <c r="L667" s="54"/>
      <c r="M667" s="54"/>
    </row>
    <row r="668" spans="4:13">
      <c r="D668" s="54"/>
      <c r="J668" s="54"/>
      <c r="L668" s="54"/>
      <c r="M668" s="54"/>
    </row>
    <row r="669" spans="4:13">
      <c r="D669" s="54"/>
      <c r="J669" s="54"/>
      <c r="L669" s="54"/>
      <c r="M669" s="54"/>
    </row>
    <row r="670" spans="4:13">
      <c r="D670" s="54"/>
      <c r="J670" s="54"/>
      <c r="L670" s="54"/>
      <c r="M670" s="54"/>
    </row>
    <row r="671" spans="4:13">
      <c r="D671" s="54"/>
      <c r="J671" s="54"/>
      <c r="L671" s="54"/>
      <c r="M671" s="54"/>
    </row>
    <row r="672" spans="4:13">
      <c r="D672" s="54"/>
      <c r="J672" s="54"/>
      <c r="L672" s="54"/>
      <c r="M672" s="54"/>
    </row>
    <row r="673" spans="4:13">
      <c r="D673" s="54"/>
      <c r="J673" s="54"/>
      <c r="L673" s="54"/>
      <c r="M673" s="54"/>
    </row>
    <row r="674" spans="4:13">
      <c r="D674" s="54"/>
      <c r="J674" s="54"/>
      <c r="L674" s="54"/>
      <c r="M674" s="54"/>
    </row>
    <row r="675" spans="4:13">
      <c r="D675" s="54"/>
      <c r="J675" s="54"/>
      <c r="L675" s="54"/>
      <c r="M675" s="54"/>
    </row>
    <row r="676" spans="4:13">
      <c r="D676" s="54"/>
      <c r="J676" s="54"/>
      <c r="L676" s="54"/>
      <c r="M676" s="54"/>
    </row>
    <row r="677" spans="4:13">
      <c r="D677" s="54"/>
      <c r="J677" s="54"/>
      <c r="L677" s="54"/>
      <c r="M677" s="54"/>
    </row>
    <row r="678" spans="4:13">
      <c r="D678" s="54"/>
      <c r="J678" s="54"/>
      <c r="L678" s="54"/>
      <c r="M678" s="54"/>
    </row>
    <row r="679" spans="4:13">
      <c r="D679" s="54"/>
      <c r="J679" s="54"/>
      <c r="L679" s="54"/>
      <c r="M679" s="54"/>
    </row>
    <row r="680" spans="4:13">
      <c r="D680" s="54"/>
      <c r="J680" s="54"/>
      <c r="L680" s="54"/>
      <c r="M680" s="54"/>
    </row>
    <row r="681" spans="4:13">
      <c r="D681" s="54"/>
      <c r="J681" s="54"/>
      <c r="L681" s="54"/>
      <c r="M681" s="54"/>
    </row>
    <row r="682" spans="4:13">
      <c r="D682" s="54"/>
      <c r="J682" s="54"/>
      <c r="L682" s="54"/>
      <c r="M682" s="54"/>
    </row>
    <row r="683" spans="4:13">
      <c r="D683" s="54"/>
      <c r="J683" s="54"/>
      <c r="L683" s="54"/>
      <c r="M683" s="54"/>
    </row>
    <row r="684" spans="4:13">
      <c r="D684" s="54"/>
      <c r="J684" s="54"/>
      <c r="L684" s="54"/>
      <c r="M684" s="54"/>
    </row>
    <row r="685" spans="4:13">
      <c r="D685" s="54"/>
      <c r="J685" s="54"/>
      <c r="L685" s="54"/>
      <c r="M685" s="54"/>
    </row>
    <row r="686" spans="4:13">
      <c r="D686" s="54"/>
      <c r="J686" s="54"/>
      <c r="L686" s="54"/>
      <c r="M686" s="54"/>
    </row>
    <row r="687" spans="4:13">
      <c r="D687" s="54"/>
      <c r="J687" s="54"/>
      <c r="L687" s="54"/>
      <c r="M687" s="54"/>
    </row>
    <row r="688" spans="4:13">
      <c r="D688" s="54"/>
      <c r="J688" s="54"/>
      <c r="L688" s="54"/>
      <c r="M688" s="54"/>
    </row>
    <row r="689" spans="4:13">
      <c r="D689" s="54"/>
      <c r="J689" s="54"/>
      <c r="L689" s="54"/>
      <c r="M689" s="54"/>
    </row>
    <row r="690" spans="4:13">
      <c r="D690" s="54"/>
      <c r="J690" s="54"/>
      <c r="L690" s="54"/>
      <c r="M690" s="54"/>
    </row>
    <row r="691" spans="4:13">
      <c r="D691" s="54"/>
      <c r="J691" s="54"/>
      <c r="L691" s="54"/>
      <c r="M691" s="54"/>
    </row>
    <row r="692" spans="4:13">
      <c r="D692" s="54"/>
      <c r="J692" s="54"/>
      <c r="L692" s="54"/>
      <c r="M692" s="54"/>
    </row>
    <row r="693" spans="4:13">
      <c r="D693" s="54"/>
      <c r="J693" s="54"/>
      <c r="L693" s="54"/>
      <c r="M693" s="54"/>
    </row>
    <row r="694" spans="4:13">
      <c r="D694" s="54"/>
      <c r="J694" s="54"/>
      <c r="L694" s="54"/>
      <c r="M694" s="54"/>
    </row>
    <row r="695" spans="4:13">
      <c r="D695" s="54"/>
      <c r="J695" s="54"/>
      <c r="L695" s="54"/>
      <c r="M695" s="54"/>
    </row>
    <row r="696" spans="4:13">
      <c r="D696" s="54"/>
      <c r="J696" s="54"/>
      <c r="L696" s="54"/>
      <c r="M696" s="54"/>
    </row>
    <row r="697" spans="4:13">
      <c r="D697" s="54"/>
      <c r="J697" s="54"/>
      <c r="L697" s="54"/>
      <c r="M697" s="54"/>
    </row>
    <row r="698" spans="4:13">
      <c r="D698" s="54"/>
      <c r="J698" s="54"/>
      <c r="L698" s="54"/>
      <c r="M698" s="54"/>
    </row>
    <row r="699" spans="4:13">
      <c r="D699" s="54"/>
      <c r="J699" s="54"/>
      <c r="L699" s="54"/>
      <c r="M699" s="54"/>
    </row>
    <row r="700" spans="4:13">
      <c r="D700" s="54"/>
      <c r="J700" s="54"/>
      <c r="L700" s="54"/>
      <c r="M700" s="54"/>
    </row>
    <row r="701" spans="4:13">
      <c r="D701" s="54"/>
      <c r="J701" s="54"/>
      <c r="L701" s="54"/>
      <c r="M701" s="54"/>
    </row>
    <row r="702" spans="4:13">
      <c r="D702" s="54"/>
      <c r="J702" s="54"/>
      <c r="L702" s="54"/>
      <c r="M702" s="54"/>
    </row>
    <row r="703" spans="4:13">
      <c r="D703" s="54"/>
      <c r="J703" s="54"/>
      <c r="L703" s="54"/>
      <c r="M703" s="54"/>
    </row>
    <row r="704" spans="4:13">
      <c r="D704" s="54"/>
      <c r="J704" s="54"/>
      <c r="L704" s="54"/>
      <c r="M704" s="54"/>
    </row>
    <row r="705" spans="4:13">
      <c r="D705" s="54"/>
      <c r="J705" s="54"/>
      <c r="L705" s="54"/>
      <c r="M705" s="54"/>
    </row>
    <row r="706" spans="4:13">
      <c r="D706" s="54"/>
      <c r="J706" s="54"/>
      <c r="L706" s="54"/>
      <c r="M706" s="54"/>
    </row>
    <row r="707" spans="4:13">
      <c r="D707" s="54"/>
      <c r="J707" s="54"/>
      <c r="L707" s="54"/>
      <c r="M707" s="54"/>
    </row>
    <row r="708" spans="4:13">
      <c r="D708" s="54"/>
      <c r="J708" s="54"/>
      <c r="L708" s="54"/>
      <c r="M708" s="54"/>
    </row>
    <row r="709" spans="4:13">
      <c r="D709" s="54"/>
      <c r="J709" s="54"/>
      <c r="L709" s="54"/>
      <c r="M709" s="54"/>
    </row>
    <row r="710" spans="4:13">
      <c r="D710" s="54"/>
      <c r="J710" s="54"/>
      <c r="L710" s="54"/>
      <c r="M710" s="54"/>
    </row>
    <row r="711" spans="4:13">
      <c r="D711" s="54"/>
      <c r="J711" s="54"/>
      <c r="L711" s="54"/>
      <c r="M711" s="54"/>
    </row>
    <row r="712" spans="4:13">
      <c r="D712" s="54"/>
      <c r="J712" s="54"/>
      <c r="L712" s="54"/>
      <c r="M712" s="54"/>
    </row>
    <row r="713" spans="4:13">
      <c r="D713" s="54"/>
      <c r="J713" s="54"/>
      <c r="L713" s="54"/>
      <c r="M713" s="54"/>
    </row>
    <row r="714" spans="4:13">
      <c r="D714" s="54"/>
      <c r="J714" s="54"/>
      <c r="L714" s="54"/>
      <c r="M714" s="54"/>
    </row>
    <row r="715" spans="4:13">
      <c r="D715" s="54"/>
      <c r="J715" s="54"/>
      <c r="L715" s="54"/>
      <c r="M715" s="54"/>
    </row>
    <row r="716" spans="4:13">
      <c r="D716" s="54"/>
      <c r="J716" s="54"/>
      <c r="L716" s="54"/>
      <c r="M716" s="54"/>
    </row>
    <row r="717" spans="4:13">
      <c r="D717" s="54"/>
      <c r="J717" s="54"/>
      <c r="L717" s="54"/>
      <c r="M717" s="54"/>
    </row>
    <row r="718" spans="4:13">
      <c r="D718" s="54"/>
      <c r="J718" s="54"/>
      <c r="L718" s="54"/>
      <c r="M718" s="54"/>
    </row>
    <row r="719" spans="4:13">
      <c r="D719" s="54"/>
      <c r="J719" s="54"/>
      <c r="L719" s="54"/>
      <c r="M719" s="54"/>
    </row>
    <row r="720" spans="4:13">
      <c r="D720" s="54"/>
      <c r="J720" s="54"/>
      <c r="L720" s="54"/>
      <c r="M720" s="54"/>
    </row>
    <row r="721" spans="4:13">
      <c r="D721" s="54"/>
      <c r="J721" s="54"/>
      <c r="L721" s="54"/>
      <c r="M721" s="54"/>
    </row>
    <row r="722" spans="4:13">
      <c r="D722" s="54"/>
      <c r="J722" s="54"/>
      <c r="L722" s="54"/>
      <c r="M722" s="54"/>
    </row>
    <row r="723" spans="4:13">
      <c r="D723" s="54"/>
      <c r="J723" s="54"/>
      <c r="L723" s="54"/>
      <c r="M723" s="54"/>
    </row>
    <row r="724" spans="4:13">
      <c r="D724" s="54"/>
      <c r="J724" s="54"/>
      <c r="L724" s="54"/>
      <c r="M724" s="54"/>
    </row>
    <row r="725" spans="4:13">
      <c r="D725" s="54"/>
      <c r="J725" s="54"/>
      <c r="L725" s="54"/>
      <c r="M725" s="54"/>
    </row>
    <row r="726" spans="4:13">
      <c r="D726" s="54"/>
      <c r="J726" s="54"/>
      <c r="L726" s="54"/>
      <c r="M726" s="54"/>
    </row>
    <row r="727" spans="4:13">
      <c r="D727" s="54"/>
      <c r="J727" s="54"/>
      <c r="L727" s="54"/>
      <c r="M727" s="54"/>
    </row>
    <row r="728" spans="4:13">
      <c r="D728" s="54"/>
      <c r="J728" s="54"/>
      <c r="L728" s="54"/>
      <c r="M728" s="54"/>
    </row>
    <row r="729" spans="4:13">
      <c r="D729" s="54"/>
      <c r="J729" s="54"/>
      <c r="L729" s="54"/>
      <c r="M729" s="54"/>
    </row>
    <row r="730" spans="4:13">
      <c r="D730" s="54"/>
      <c r="J730" s="54"/>
      <c r="L730" s="54"/>
      <c r="M730" s="54"/>
    </row>
    <row r="731" spans="4:13">
      <c r="D731" s="54"/>
      <c r="J731" s="54"/>
      <c r="L731" s="54"/>
      <c r="M731" s="54"/>
    </row>
    <row r="732" spans="4:13">
      <c r="D732" s="54"/>
      <c r="J732" s="54"/>
      <c r="L732" s="54"/>
      <c r="M732" s="54"/>
    </row>
    <row r="733" spans="4:13">
      <c r="D733" s="54"/>
      <c r="J733" s="54"/>
      <c r="L733" s="54"/>
      <c r="M733" s="54"/>
    </row>
    <row r="734" spans="4:13">
      <c r="D734" s="54"/>
      <c r="J734" s="54"/>
      <c r="L734" s="54"/>
      <c r="M734" s="54"/>
    </row>
    <row r="735" spans="4:13">
      <c r="D735" s="54"/>
      <c r="J735" s="54"/>
      <c r="L735" s="54"/>
      <c r="M735" s="54"/>
    </row>
    <row r="736" spans="4:13">
      <c r="D736" s="54"/>
      <c r="J736" s="54"/>
      <c r="L736" s="54"/>
      <c r="M736" s="54"/>
    </row>
    <row r="737" spans="4:13">
      <c r="D737" s="54"/>
      <c r="J737" s="54"/>
      <c r="L737" s="54"/>
      <c r="M737" s="54"/>
    </row>
    <row r="738" spans="4:13">
      <c r="D738" s="54"/>
      <c r="J738" s="54"/>
      <c r="L738" s="54"/>
      <c r="M738" s="54"/>
    </row>
    <row r="739" spans="4:13">
      <c r="D739" s="54"/>
      <c r="J739" s="54"/>
      <c r="L739" s="54"/>
      <c r="M739" s="54"/>
    </row>
    <row r="740" spans="4:13">
      <c r="D740" s="54"/>
      <c r="J740" s="54"/>
      <c r="L740" s="54"/>
      <c r="M740" s="54"/>
    </row>
    <row r="741" spans="4:13">
      <c r="D741" s="54"/>
      <c r="J741" s="54"/>
      <c r="L741" s="54"/>
      <c r="M741" s="54"/>
    </row>
    <row r="742" spans="4:13">
      <c r="D742" s="54"/>
      <c r="J742" s="54"/>
      <c r="L742" s="54"/>
      <c r="M742" s="54"/>
    </row>
    <row r="743" spans="4:13">
      <c r="D743" s="54"/>
      <c r="J743" s="54"/>
      <c r="L743" s="54"/>
      <c r="M743" s="54"/>
    </row>
    <row r="744" spans="4:13">
      <c r="D744" s="54"/>
      <c r="J744" s="54"/>
      <c r="L744" s="54"/>
      <c r="M744" s="54"/>
    </row>
    <row r="745" spans="4:13">
      <c r="D745" s="54"/>
      <c r="J745" s="54"/>
      <c r="L745" s="54"/>
      <c r="M745" s="54"/>
    </row>
    <row r="746" spans="4:13">
      <c r="D746" s="54"/>
      <c r="J746" s="54"/>
      <c r="L746" s="54"/>
      <c r="M746" s="54"/>
    </row>
    <row r="747" spans="4:13">
      <c r="D747" s="54"/>
      <c r="J747" s="54"/>
      <c r="L747" s="54"/>
      <c r="M747" s="54"/>
    </row>
    <row r="748" spans="4:13">
      <c r="D748" s="54"/>
      <c r="J748" s="54"/>
      <c r="L748" s="54"/>
      <c r="M748" s="54"/>
    </row>
    <row r="749" spans="4:13">
      <c r="D749" s="54"/>
      <c r="J749" s="54"/>
      <c r="L749" s="54"/>
      <c r="M749" s="54"/>
    </row>
    <row r="750" spans="4:13">
      <c r="D750" s="54"/>
      <c r="J750" s="54"/>
      <c r="L750" s="54"/>
      <c r="M750" s="54"/>
    </row>
    <row r="751" spans="4:13">
      <c r="D751" s="54"/>
      <c r="J751" s="54"/>
      <c r="L751" s="54"/>
      <c r="M751" s="54"/>
    </row>
    <row r="752" spans="4:13">
      <c r="D752" s="54"/>
      <c r="J752" s="54"/>
      <c r="L752" s="54"/>
      <c r="M752" s="54"/>
    </row>
    <row r="753" spans="4:13">
      <c r="D753" s="54"/>
      <c r="J753" s="54"/>
      <c r="L753" s="54"/>
      <c r="M753" s="54"/>
    </row>
    <row r="754" spans="4:13">
      <c r="D754" s="54"/>
      <c r="J754" s="54"/>
      <c r="L754" s="54"/>
      <c r="M754" s="54"/>
    </row>
    <row r="755" spans="4:13">
      <c r="D755" s="54"/>
      <c r="J755" s="54"/>
      <c r="L755" s="54"/>
      <c r="M755" s="54"/>
    </row>
    <row r="756" spans="4:13">
      <c r="D756" s="54"/>
      <c r="J756" s="54"/>
      <c r="L756" s="54"/>
      <c r="M756" s="54"/>
    </row>
    <row r="757" spans="4:13">
      <c r="D757" s="54"/>
      <c r="J757" s="54"/>
      <c r="L757" s="54"/>
      <c r="M757" s="54"/>
    </row>
    <row r="758" spans="4:13">
      <c r="D758" s="54"/>
      <c r="J758" s="54"/>
      <c r="L758" s="54"/>
      <c r="M758" s="54"/>
    </row>
    <row r="759" spans="4:13">
      <c r="D759" s="54"/>
      <c r="J759" s="54"/>
      <c r="L759" s="54"/>
      <c r="M759" s="54"/>
    </row>
    <row r="760" spans="4:13">
      <c r="D760" s="54"/>
      <c r="J760" s="54"/>
      <c r="L760" s="54"/>
      <c r="M760" s="54"/>
    </row>
    <row r="761" spans="4:13">
      <c r="D761" s="54"/>
      <c r="J761" s="54"/>
      <c r="L761" s="54"/>
      <c r="M761" s="54"/>
    </row>
    <row r="762" spans="4:13">
      <c r="D762" s="54"/>
      <c r="J762" s="54"/>
      <c r="L762" s="54"/>
      <c r="M762" s="54"/>
    </row>
    <row r="763" spans="4:13">
      <c r="D763" s="54"/>
      <c r="J763" s="54"/>
      <c r="L763" s="54"/>
      <c r="M763" s="54"/>
    </row>
    <row r="764" spans="4:13">
      <c r="D764" s="54"/>
      <c r="J764" s="54"/>
      <c r="L764" s="54"/>
      <c r="M764" s="54"/>
    </row>
    <row r="765" spans="4:13">
      <c r="D765" s="54"/>
      <c r="J765" s="54"/>
      <c r="L765" s="54"/>
      <c r="M765" s="54"/>
    </row>
    <row r="766" spans="4:13">
      <c r="D766" s="54"/>
      <c r="J766" s="54"/>
      <c r="L766" s="54"/>
      <c r="M766" s="54"/>
    </row>
    <row r="767" spans="4:13">
      <c r="D767" s="54"/>
      <c r="J767" s="54"/>
      <c r="L767" s="54"/>
      <c r="M767" s="54"/>
    </row>
    <row r="768" spans="4:13">
      <c r="D768" s="54"/>
      <c r="J768" s="54"/>
      <c r="L768" s="54"/>
      <c r="M768" s="54"/>
    </row>
    <row r="769" spans="4:13">
      <c r="D769" s="54"/>
      <c r="J769" s="54"/>
      <c r="L769" s="54"/>
      <c r="M769" s="54"/>
    </row>
    <row r="770" spans="4:13">
      <c r="D770" s="54"/>
      <c r="J770" s="54"/>
      <c r="L770" s="54"/>
      <c r="M770" s="54"/>
    </row>
    <row r="771" spans="4:13">
      <c r="D771" s="54"/>
      <c r="J771" s="54"/>
      <c r="L771" s="54"/>
      <c r="M771" s="54"/>
    </row>
    <row r="772" spans="4:13">
      <c r="D772" s="54"/>
      <c r="J772" s="54"/>
      <c r="L772" s="54"/>
      <c r="M772" s="54"/>
    </row>
    <row r="773" spans="4:13">
      <c r="D773" s="54"/>
      <c r="J773" s="54"/>
      <c r="L773" s="54"/>
      <c r="M773" s="54"/>
    </row>
    <row r="774" spans="4:13">
      <c r="D774" s="54"/>
      <c r="J774" s="54"/>
      <c r="L774" s="54"/>
      <c r="M774" s="54"/>
    </row>
    <row r="775" spans="4:13">
      <c r="D775" s="54"/>
      <c r="J775" s="54"/>
      <c r="L775" s="54"/>
      <c r="M775" s="54"/>
    </row>
    <row r="776" spans="4:13">
      <c r="D776" s="54"/>
      <c r="J776" s="54"/>
      <c r="L776" s="54"/>
      <c r="M776" s="54"/>
    </row>
    <row r="777" spans="4:13">
      <c r="D777" s="54"/>
      <c r="J777" s="54"/>
      <c r="L777" s="54"/>
      <c r="M777" s="54"/>
    </row>
    <row r="778" spans="4:13">
      <c r="D778" s="54"/>
      <c r="J778" s="54"/>
      <c r="L778" s="54"/>
      <c r="M778" s="54"/>
    </row>
    <row r="779" spans="4:13">
      <c r="D779" s="54"/>
      <c r="J779" s="54"/>
      <c r="L779" s="54"/>
      <c r="M779" s="54"/>
    </row>
    <row r="780" spans="4:13">
      <c r="D780" s="54"/>
      <c r="J780" s="54"/>
      <c r="L780" s="54"/>
      <c r="M780" s="54"/>
    </row>
    <row r="781" spans="4:13">
      <c r="D781" s="54"/>
      <c r="J781" s="54"/>
      <c r="L781" s="54"/>
      <c r="M781" s="54"/>
    </row>
    <row r="782" spans="4:13">
      <c r="D782" s="54"/>
      <c r="J782" s="54"/>
      <c r="L782" s="54"/>
      <c r="M782" s="54"/>
    </row>
    <row r="783" spans="4:13">
      <c r="D783" s="54"/>
      <c r="J783" s="54"/>
      <c r="L783" s="54"/>
      <c r="M783" s="54"/>
    </row>
    <row r="784" spans="4:13">
      <c r="D784" s="54"/>
      <c r="J784" s="54"/>
      <c r="L784" s="54"/>
      <c r="M784" s="54"/>
    </row>
    <row r="785" spans="4:13">
      <c r="D785" s="54"/>
      <c r="J785" s="54"/>
      <c r="L785" s="54"/>
      <c r="M785" s="54"/>
    </row>
    <row r="786" spans="4:13">
      <c r="D786" s="54"/>
      <c r="J786" s="54"/>
      <c r="L786" s="54"/>
      <c r="M786" s="54"/>
    </row>
    <row r="787" spans="4:13">
      <c r="D787" s="54"/>
      <c r="J787" s="54"/>
      <c r="L787" s="54"/>
      <c r="M787" s="54"/>
    </row>
    <row r="788" spans="4:13">
      <c r="D788" s="54"/>
      <c r="J788" s="54"/>
      <c r="L788" s="54"/>
      <c r="M788" s="54"/>
    </row>
    <row r="789" spans="4:13">
      <c r="D789" s="54"/>
      <c r="J789" s="54"/>
      <c r="L789" s="54"/>
      <c r="M789" s="54"/>
    </row>
    <row r="790" spans="4:13">
      <c r="D790" s="54"/>
      <c r="J790" s="54"/>
      <c r="L790" s="54"/>
      <c r="M790" s="54"/>
    </row>
    <row r="791" spans="4:13">
      <c r="D791" s="54"/>
      <c r="J791" s="54"/>
      <c r="L791" s="54"/>
      <c r="M791" s="54"/>
    </row>
    <row r="792" spans="4:13">
      <c r="D792" s="54"/>
      <c r="J792" s="54"/>
      <c r="L792" s="54"/>
      <c r="M792" s="54"/>
    </row>
    <row r="793" spans="4:13">
      <c r="D793" s="54"/>
      <c r="J793" s="54"/>
      <c r="L793" s="54"/>
      <c r="M793" s="54"/>
    </row>
    <row r="794" spans="4:13">
      <c r="D794" s="54"/>
      <c r="J794" s="54"/>
      <c r="L794" s="54"/>
      <c r="M794" s="54"/>
    </row>
    <row r="795" spans="4:13">
      <c r="D795" s="54"/>
      <c r="J795" s="54"/>
      <c r="L795" s="54"/>
      <c r="M795" s="54"/>
    </row>
    <row r="796" spans="4:13">
      <c r="D796" s="54"/>
      <c r="J796" s="54"/>
      <c r="L796" s="54"/>
      <c r="M796" s="54"/>
    </row>
    <row r="797" spans="4:13">
      <c r="D797" s="54"/>
      <c r="J797" s="54"/>
      <c r="L797" s="54"/>
      <c r="M797" s="54"/>
    </row>
    <row r="798" spans="4:13">
      <c r="D798" s="54"/>
      <c r="J798" s="54"/>
      <c r="L798" s="54"/>
      <c r="M798" s="54"/>
    </row>
    <row r="799" spans="4:13">
      <c r="D799" s="54"/>
      <c r="J799" s="54"/>
      <c r="L799" s="54"/>
      <c r="M799" s="54"/>
    </row>
    <row r="800" spans="4:13">
      <c r="D800" s="54"/>
      <c r="J800" s="54"/>
      <c r="L800" s="54"/>
      <c r="M800" s="54"/>
    </row>
    <row r="801" spans="4:13">
      <c r="D801" s="54"/>
      <c r="J801" s="54"/>
      <c r="L801" s="54"/>
      <c r="M801" s="54"/>
    </row>
    <row r="802" spans="4:13">
      <c r="D802" s="54"/>
      <c r="J802" s="54"/>
      <c r="L802" s="54"/>
      <c r="M802" s="54"/>
    </row>
    <row r="803" spans="4:13">
      <c r="D803" s="54"/>
      <c r="J803" s="54"/>
      <c r="L803" s="54"/>
      <c r="M803" s="54"/>
    </row>
    <row r="804" spans="4:13">
      <c r="D804" s="54"/>
      <c r="J804" s="54"/>
      <c r="L804" s="54"/>
      <c r="M804" s="54"/>
    </row>
    <row r="805" spans="4:13">
      <c r="D805" s="54"/>
      <c r="J805" s="54"/>
      <c r="L805" s="54"/>
      <c r="M805" s="54"/>
    </row>
    <row r="806" spans="4:13">
      <c r="D806" s="54"/>
      <c r="J806" s="54"/>
      <c r="L806" s="54"/>
      <c r="M806" s="54"/>
    </row>
    <row r="807" spans="4:13">
      <c r="D807" s="54"/>
      <c r="J807" s="54"/>
      <c r="L807" s="54"/>
      <c r="M807" s="54"/>
    </row>
    <row r="808" spans="4:13">
      <c r="D808" s="54"/>
      <c r="J808" s="54"/>
      <c r="L808" s="54"/>
      <c r="M808" s="54"/>
    </row>
    <row r="809" spans="4:13">
      <c r="D809" s="54"/>
      <c r="J809" s="54"/>
      <c r="L809" s="54"/>
      <c r="M809" s="54"/>
    </row>
    <row r="810" spans="4:13">
      <c r="D810" s="54"/>
      <c r="J810" s="54"/>
      <c r="L810" s="54"/>
      <c r="M810" s="54"/>
    </row>
    <row r="811" spans="4:13">
      <c r="D811" s="54"/>
      <c r="J811" s="54"/>
      <c r="L811" s="54"/>
      <c r="M811" s="54"/>
    </row>
    <row r="812" spans="4:13">
      <c r="D812" s="54"/>
      <c r="J812" s="54"/>
      <c r="L812" s="54"/>
      <c r="M812" s="54"/>
    </row>
    <row r="813" spans="4:13">
      <c r="D813" s="54"/>
      <c r="J813" s="54"/>
      <c r="L813" s="54"/>
      <c r="M813" s="54"/>
    </row>
    <row r="814" spans="4:13">
      <c r="D814" s="54"/>
      <c r="J814" s="54"/>
      <c r="L814" s="54"/>
      <c r="M814" s="54"/>
    </row>
    <row r="815" spans="4:13">
      <c r="D815" s="54"/>
      <c r="J815" s="54"/>
      <c r="L815" s="54"/>
      <c r="M815" s="54"/>
    </row>
    <row r="816" spans="4:13">
      <c r="D816" s="54"/>
      <c r="J816" s="54"/>
      <c r="L816" s="54"/>
      <c r="M816" s="54"/>
    </row>
    <row r="817" spans="4:13">
      <c r="D817" s="54"/>
      <c r="J817" s="54"/>
      <c r="L817" s="54"/>
      <c r="M817" s="54"/>
    </row>
    <row r="818" spans="4:13">
      <c r="D818" s="54"/>
      <c r="J818" s="54"/>
      <c r="L818" s="54"/>
      <c r="M818" s="54"/>
    </row>
    <row r="819" spans="4:13">
      <c r="D819" s="54"/>
      <c r="J819" s="54"/>
      <c r="L819" s="54"/>
      <c r="M819" s="54"/>
    </row>
    <row r="820" spans="4:13">
      <c r="D820" s="54"/>
      <c r="J820" s="54"/>
      <c r="L820" s="54"/>
      <c r="M820" s="54"/>
    </row>
    <row r="821" spans="4:13">
      <c r="D821" s="54"/>
      <c r="J821" s="54"/>
      <c r="L821" s="54"/>
      <c r="M821" s="54"/>
    </row>
    <row r="822" spans="4:13">
      <c r="D822" s="54"/>
      <c r="J822" s="54"/>
      <c r="L822" s="54"/>
      <c r="M822" s="54"/>
    </row>
    <row r="823" spans="4:13">
      <c r="D823" s="54"/>
      <c r="J823" s="54"/>
      <c r="L823" s="54"/>
      <c r="M823" s="54"/>
    </row>
    <row r="824" spans="4:13">
      <c r="D824" s="54"/>
      <c r="J824" s="54"/>
      <c r="L824" s="54"/>
      <c r="M824" s="54"/>
    </row>
    <row r="825" spans="4:13">
      <c r="D825" s="54"/>
      <c r="J825" s="54"/>
      <c r="L825" s="54"/>
      <c r="M825" s="54"/>
    </row>
    <row r="826" spans="4:13">
      <c r="D826" s="54"/>
      <c r="J826" s="54"/>
      <c r="L826" s="54"/>
      <c r="M826" s="54"/>
    </row>
    <row r="827" spans="4:13">
      <c r="D827" s="54"/>
      <c r="J827" s="54"/>
      <c r="L827" s="54"/>
      <c r="M827" s="54"/>
    </row>
    <row r="828" spans="4:13">
      <c r="D828" s="54"/>
      <c r="J828" s="54"/>
      <c r="L828" s="54"/>
      <c r="M828" s="54"/>
    </row>
    <row r="829" spans="4:13">
      <c r="D829" s="54"/>
      <c r="J829" s="54"/>
      <c r="L829" s="54"/>
      <c r="M829" s="54"/>
    </row>
    <row r="830" spans="4:13">
      <c r="D830" s="54"/>
      <c r="J830" s="54"/>
      <c r="L830" s="54"/>
      <c r="M830" s="54"/>
    </row>
    <row r="831" spans="4:13">
      <c r="D831" s="54"/>
      <c r="J831" s="54"/>
      <c r="L831" s="54"/>
      <c r="M831" s="54"/>
    </row>
    <row r="832" spans="4:13">
      <c r="D832" s="54"/>
      <c r="J832" s="54"/>
      <c r="L832" s="54"/>
      <c r="M832" s="54"/>
    </row>
    <row r="833" spans="4:13">
      <c r="D833" s="54"/>
      <c r="J833" s="54"/>
      <c r="L833" s="54"/>
      <c r="M833" s="54"/>
    </row>
    <row r="834" spans="4:13">
      <c r="D834" s="54"/>
      <c r="J834" s="54"/>
      <c r="L834" s="54"/>
      <c r="M834" s="54"/>
    </row>
    <row r="835" spans="4:13">
      <c r="D835" s="54"/>
      <c r="J835" s="54"/>
      <c r="L835" s="54"/>
      <c r="M835" s="54"/>
    </row>
    <row r="836" spans="4:13">
      <c r="D836" s="54"/>
      <c r="J836" s="54"/>
      <c r="L836" s="54"/>
      <c r="M836" s="54"/>
    </row>
    <row r="837" spans="4:13">
      <c r="D837" s="54"/>
      <c r="J837" s="54"/>
      <c r="L837" s="54"/>
      <c r="M837" s="54"/>
    </row>
    <row r="838" spans="4:13">
      <c r="D838" s="54"/>
      <c r="J838" s="54"/>
      <c r="L838" s="54"/>
      <c r="M838" s="54"/>
    </row>
    <row r="839" spans="4:13">
      <c r="D839" s="54"/>
      <c r="J839" s="54"/>
      <c r="L839" s="54"/>
      <c r="M839" s="54"/>
    </row>
    <row r="840" spans="4:13">
      <c r="D840" s="54"/>
      <c r="J840" s="54"/>
      <c r="L840" s="54"/>
      <c r="M840" s="54"/>
    </row>
    <row r="841" spans="4:13">
      <c r="D841" s="54"/>
      <c r="J841" s="54"/>
      <c r="L841" s="54"/>
      <c r="M841" s="54"/>
    </row>
    <row r="842" spans="4:13">
      <c r="D842" s="54"/>
      <c r="J842" s="54"/>
      <c r="L842" s="54"/>
      <c r="M842" s="54"/>
    </row>
    <row r="843" spans="4:13">
      <c r="D843" s="54"/>
      <c r="J843" s="54"/>
      <c r="L843" s="54"/>
      <c r="M843" s="54"/>
    </row>
    <row r="844" spans="4:13">
      <c r="D844" s="54"/>
      <c r="J844" s="54"/>
      <c r="L844" s="54"/>
      <c r="M844" s="54"/>
    </row>
    <row r="845" spans="4:13">
      <c r="D845" s="54"/>
      <c r="J845" s="54"/>
      <c r="L845" s="54"/>
      <c r="M845" s="54"/>
    </row>
    <row r="846" spans="4:13">
      <c r="D846" s="54"/>
      <c r="J846" s="54"/>
      <c r="L846" s="54"/>
      <c r="M846" s="54"/>
    </row>
    <row r="847" spans="4:13">
      <c r="D847" s="54"/>
      <c r="J847" s="54"/>
      <c r="L847" s="54"/>
      <c r="M847" s="54"/>
    </row>
    <row r="848" spans="4:13">
      <c r="D848" s="54"/>
      <c r="J848" s="54"/>
      <c r="L848" s="54"/>
      <c r="M848" s="54"/>
    </row>
    <row r="849" spans="4:13">
      <c r="D849" s="54"/>
      <c r="J849" s="54"/>
      <c r="L849" s="54"/>
      <c r="M849" s="54"/>
    </row>
    <row r="850" spans="4:13">
      <c r="D850" s="54"/>
      <c r="J850" s="54"/>
      <c r="L850" s="54"/>
      <c r="M850" s="54"/>
    </row>
    <row r="851" spans="4:13">
      <c r="D851" s="54"/>
      <c r="J851" s="54"/>
      <c r="L851" s="54"/>
      <c r="M851" s="54"/>
    </row>
    <row r="852" spans="4:13">
      <c r="D852" s="54"/>
      <c r="J852" s="54"/>
      <c r="L852" s="54"/>
      <c r="M852" s="54"/>
    </row>
    <row r="853" spans="4:13">
      <c r="D853" s="54"/>
      <c r="J853" s="54"/>
      <c r="L853" s="54"/>
      <c r="M853" s="54"/>
    </row>
    <row r="854" spans="4:13">
      <c r="D854" s="54"/>
      <c r="J854" s="54"/>
      <c r="L854" s="54"/>
      <c r="M854" s="54"/>
    </row>
    <row r="855" spans="4:13">
      <c r="D855" s="54"/>
      <c r="J855" s="54"/>
      <c r="L855" s="54"/>
      <c r="M855" s="54"/>
    </row>
    <row r="856" spans="4:13">
      <c r="D856" s="54"/>
      <c r="J856" s="54"/>
      <c r="L856" s="54"/>
      <c r="M856" s="54"/>
    </row>
    <row r="857" spans="4:13">
      <c r="D857" s="54"/>
      <c r="J857" s="54"/>
      <c r="L857" s="54"/>
      <c r="M857" s="54"/>
    </row>
    <row r="858" spans="4:13">
      <c r="D858" s="54"/>
      <c r="J858" s="54"/>
      <c r="L858" s="54"/>
      <c r="M858" s="54"/>
    </row>
    <row r="859" spans="4:13">
      <c r="D859" s="54"/>
      <c r="J859" s="54"/>
      <c r="L859" s="54"/>
      <c r="M859" s="54"/>
    </row>
    <row r="860" spans="4:13">
      <c r="D860" s="54"/>
      <c r="J860" s="54"/>
      <c r="L860" s="54"/>
      <c r="M860" s="54"/>
    </row>
    <row r="861" spans="4:13">
      <c r="D861" s="54"/>
      <c r="J861" s="54"/>
      <c r="L861" s="54"/>
      <c r="M861" s="54"/>
    </row>
    <row r="862" spans="4:13">
      <c r="D862" s="54"/>
      <c r="J862" s="54"/>
      <c r="L862" s="54"/>
      <c r="M862" s="54"/>
    </row>
    <row r="863" spans="4:13">
      <c r="D863" s="54"/>
      <c r="J863" s="54"/>
      <c r="L863" s="54"/>
      <c r="M863" s="54"/>
    </row>
    <row r="864" spans="4:13">
      <c r="D864" s="54"/>
      <c r="J864" s="54"/>
      <c r="L864" s="54"/>
      <c r="M864" s="54"/>
    </row>
    <row r="865" spans="4:13">
      <c r="D865" s="54"/>
      <c r="J865" s="54"/>
      <c r="L865" s="54"/>
      <c r="M865" s="54"/>
    </row>
    <row r="866" spans="4:13">
      <c r="D866" s="54"/>
      <c r="J866" s="54"/>
      <c r="L866" s="54"/>
      <c r="M866" s="54"/>
    </row>
    <row r="867" spans="4:13">
      <c r="D867" s="54"/>
      <c r="J867" s="54"/>
      <c r="L867" s="54"/>
      <c r="M867" s="54"/>
    </row>
    <row r="868" spans="4:13">
      <c r="D868" s="54"/>
      <c r="J868" s="54"/>
      <c r="L868" s="54"/>
      <c r="M868" s="54"/>
    </row>
    <row r="869" spans="4:13">
      <c r="D869" s="54"/>
      <c r="J869" s="54"/>
      <c r="L869" s="54"/>
      <c r="M869" s="54"/>
    </row>
    <row r="870" spans="4:13">
      <c r="D870" s="54"/>
      <c r="J870" s="54"/>
      <c r="L870" s="54"/>
      <c r="M870" s="54"/>
    </row>
    <row r="871" spans="4:13">
      <c r="D871" s="54"/>
      <c r="J871" s="54"/>
      <c r="L871" s="54"/>
      <c r="M871" s="54"/>
    </row>
    <row r="872" spans="4:13">
      <c r="D872" s="54"/>
      <c r="J872" s="54"/>
      <c r="L872" s="54"/>
      <c r="M872" s="54"/>
    </row>
    <row r="873" spans="4:13">
      <c r="D873" s="54"/>
      <c r="J873" s="54"/>
      <c r="L873" s="54"/>
      <c r="M873" s="54"/>
    </row>
    <row r="874" spans="4:13">
      <c r="D874" s="54"/>
      <c r="J874" s="54"/>
      <c r="L874" s="54"/>
      <c r="M874" s="54"/>
    </row>
    <row r="875" spans="4:13">
      <c r="D875" s="54"/>
      <c r="J875" s="54"/>
      <c r="L875" s="54"/>
      <c r="M875" s="54"/>
    </row>
    <row r="876" spans="4:13">
      <c r="D876" s="54"/>
      <c r="J876" s="54"/>
      <c r="L876" s="54"/>
      <c r="M876" s="54"/>
    </row>
    <row r="877" spans="4:13">
      <c r="D877" s="54"/>
      <c r="J877" s="54"/>
      <c r="L877" s="54"/>
      <c r="M877" s="54"/>
    </row>
    <row r="878" spans="4:13">
      <c r="D878" s="54"/>
      <c r="J878" s="54"/>
      <c r="L878" s="54"/>
      <c r="M878" s="54"/>
    </row>
    <row r="879" spans="4:13">
      <c r="D879" s="54"/>
      <c r="J879" s="54"/>
      <c r="L879" s="54"/>
      <c r="M879" s="54"/>
    </row>
    <row r="880" spans="4:13">
      <c r="D880" s="54"/>
      <c r="J880" s="54"/>
      <c r="L880" s="54"/>
      <c r="M880" s="54"/>
    </row>
    <row r="881" spans="4:13">
      <c r="D881" s="54"/>
      <c r="J881" s="54"/>
      <c r="L881" s="54"/>
      <c r="M881" s="54"/>
    </row>
    <row r="882" spans="4:13">
      <c r="D882" s="54"/>
      <c r="J882" s="54"/>
      <c r="L882" s="54"/>
      <c r="M882" s="54"/>
    </row>
    <row r="883" spans="4:13">
      <c r="D883" s="54"/>
      <c r="J883" s="54"/>
      <c r="L883" s="54"/>
      <c r="M883" s="54"/>
    </row>
    <row r="884" spans="4:13">
      <c r="D884" s="54"/>
      <c r="J884" s="54"/>
      <c r="L884" s="54"/>
      <c r="M884" s="54"/>
    </row>
    <row r="885" spans="4:13">
      <c r="D885" s="54"/>
      <c r="J885" s="54"/>
      <c r="L885" s="54"/>
      <c r="M885" s="54"/>
    </row>
    <row r="886" spans="4:13">
      <c r="D886" s="54"/>
      <c r="J886" s="54"/>
      <c r="L886" s="54"/>
      <c r="M886" s="54"/>
    </row>
    <row r="887" spans="4:13">
      <c r="D887" s="54"/>
      <c r="J887" s="54"/>
      <c r="L887" s="54"/>
      <c r="M887" s="54"/>
    </row>
    <row r="888" spans="4:13">
      <c r="D888" s="54"/>
      <c r="J888" s="54"/>
      <c r="L888" s="54"/>
      <c r="M888" s="54"/>
    </row>
    <row r="889" spans="4:13">
      <c r="D889" s="54"/>
      <c r="J889" s="54"/>
      <c r="L889" s="54"/>
      <c r="M889" s="54"/>
    </row>
    <row r="890" spans="4:13">
      <c r="D890" s="54"/>
      <c r="J890" s="54"/>
      <c r="L890" s="54"/>
      <c r="M890" s="54"/>
    </row>
    <row r="891" spans="4:13">
      <c r="D891" s="54"/>
      <c r="J891" s="54"/>
      <c r="L891" s="54"/>
      <c r="M891" s="54"/>
    </row>
    <row r="892" spans="4:13">
      <c r="D892" s="54"/>
      <c r="J892" s="54"/>
      <c r="L892" s="54"/>
      <c r="M892" s="54"/>
    </row>
    <row r="893" spans="4:13">
      <c r="D893" s="54"/>
      <c r="J893" s="54"/>
      <c r="L893" s="54"/>
      <c r="M893" s="54"/>
    </row>
    <row r="894" spans="4:13">
      <c r="D894" s="54"/>
      <c r="J894" s="54"/>
      <c r="L894" s="54"/>
      <c r="M894" s="54"/>
    </row>
    <row r="895" spans="4:13">
      <c r="D895" s="54"/>
      <c r="J895" s="54"/>
      <c r="L895" s="54"/>
      <c r="M895" s="54"/>
    </row>
    <row r="896" spans="4:13">
      <c r="D896" s="54"/>
      <c r="J896" s="54"/>
      <c r="L896" s="54"/>
      <c r="M896" s="54"/>
    </row>
    <row r="897" spans="4:13">
      <c r="D897" s="54"/>
      <c r="J897" s="54"/>
      <c r="L897" s="54"/>
      <c r="M897" s="54"/>
    </row>
    <row r="898" spans="4:13">
      <c r="D898" s="54"/>
      <c r="J898" s="54"/>
      <c r="L898" s="54"/>
      <c r="M898" s="54"/>
    </row>
    <row r="899" spans="4:13">
      <c r="D899" s="54"/>
      <c r="J899" s="54"/>
      <c r="L899" s="54"/>
      <c r="M899" s="54"/>
    </row>
    <row r="900" spans="4:13">
      <c r="D900" s="54"/>
      <c r="J900" s="54"/>
      <c r="L900" s="54"/>
      <c r="M900" s="54"/>
    </row>
    <row r="901" spans="4:13">
      <c r="D901" s="54"/>
      <c r="J901" s="54"/>
      <c r="L901" s="54"/>
      <c r="M901" s="54"/>
    </row>
    <row r="902" spans="4:13">
      <c r="D902" s="54"/>
      <c r="J902" s="54"/>
      <c r="L902" s="54"/>
      <c r="M902" s="54"/>
    </row>
    <row r="903" spans="4:13">
      <c r="D903" s="54"/>
      <c r="J903" s="54"/>
      <c r="L903" s="54"/>
      <c r="M903" s="54"/>
    </row>
    <row r="904" spans="4:13">
      <c r="D904" s="54"/>
      <c r="J904" s="54"/>
      <c r="L904" s="54"/>
      <c r="M904" s="54"/>
    </row>
    <row r="905" spans="4:13">
      <c r="D905" s="54"/>
      <c r="J905" s="54"/>
      <c r="L905" s="54"/>
      <c r="M905" s="54"/>
    </row>
    <row r="906" spans="4:13">
      <c r="D906" s="54"/>
      <c r="J906" s="54"/>
      <c r="L906" s="54"/>
      <c r="M906" s="54"/>
    </row>
    <row r="907" spans="4:13">
      <c r="D907" s="54"/>
      <c r="J907" s="54"/>
      <c r="L907" s="54"/>
      <c r="M907" s="54"/>
    </row>
    <row r="908" spans="4:13">
      <c r="D908" s="54"/>
      <c r="J908" s="54"/>
      <c r="L908" s="54"/>
      <c r="M908" s="54"/>
    </row>
    <row r="909" spans="4:13">
      <c r="D909" s="54"/>
      <c r="J909" s="54"/>
      <c r="L909" s="54"/>
      <c r="M909" s="54"/>
    </row>
    <row r="910" spans="4:13">
      <c r="D910" s="54"/>
      <c r="J910" s="54"/>
      <c r="L910" s="54"/>
      <c r="M910" s="54"/>
    </row>
    <row r="911" spans="4:13">
      <c r="D911" s="54"/>
      <c r="J911" s="54"/>
      <c r="L911" s="54"/>
      <c r="M911" s="54"/>
    </row>
    <row r="912" spans="4:13">
      <c r="D912" s="54"/>
      <c r="J912" s="54"/>
      <c r="L912" s="54"/>
      <c r="M912" s="54"/>
    </row>
    <row r="913" spans="4:13">
      <c r="D913" s="54"/>
      <c r="J913" s="54"/>
      <c r="L913" s="54"/>
      <c r="M913" s="54"/>
    </row>
    <row r="914" spans="4:13">
      <c r="D914" s="54"/>
      <c r="J914" s="54"/>
      <c r="L914" s="54"/>
      <c r="M914" s="54"/>
    </row>
    <row r="915" spans="4:13">
      <c r="D915" s="54"/>
      <c r="J915" s="54"/>
      <c r="L915" s="54"/>
      <c r="M915" s="54"/>
    </row>
    <row r="916" spans="4:13">
      <c r="D916" s="54"/>
      <c r="J916" s="54"/>
      <c r="L916" s="54"/>
      <c r="M916" s="54"/>
    </row>
    <row r="917" spans="4:13">
      <c r="D917" s="54"/>
      <c r="J917" s="54"/>
      <c r="L917" s="54"/>
      <c r="M917" s="54"/>
    </row>
    <row r="918" spans="4:13">
      <c r="D918" s="54"/>
      <c r="J918" s="54"/>
      <c r="L918" s="54"/>
      <c r="M918" s="54"/>
    </row>
    <row r="919" spans="4:13">
      <c r="D919" s="54"/>
      <c r="J919" s="54"/>
      <c r="L919" s="54"/>
      <c r="M919" s="54"/>
    </row>
    <row r="920" spans="4:13">
      <c r="D920" s="54"/>
      <c r="J920" s="54"/>
      <c r="L920" s="54"/>
      <c r="M920" s="54"/>
    </row>
    <row r="921" spans="4:13">
      <c r="D921" s="54"/>
      <c r="J921" s="54"/>
      <c r="L921" s="54"/>
      <c r="M921" s="54"/>
    </row>
    <row r="922" spans="4:13">
      <c r="D922" s="54"/>
      <c r="J922" s="54"/>
      <c r="L922" s="54"/>
      <c r="M922" s="54"/>
    </row>
    <row r="923" spans="4:13">
      <c r="D923" s="54"/>
      <c r="J923" s="54"/>
      <c r="L923" s="54"/>
      <c r="M923" s="54"/>
    </row>
    <row r="924" spans="4:13">
      <c r="D924" s="54"/>
      <c r="J924" s="54"/>
      <c r="L924" s="54"/>
      <c r="M924" s="54"/>
    </row>
    <row r="925" spans="4:13">
      <c r="D925" s="54"/>
      <c r="J925" s="54"/>
      <c r="L925" s="54"/>
      <c r="M925" s="54"/>
    </row>
    <row r="926" spans="4:13">
      <c r="D926" s="54"/>
      <c r="J926" s="54"/>
      <c r="L926" s="54"/>
      <c r="M926" s="54"/>
    </row>
    <row r="927" spans="4:13">
      <c r="D927" s="54"/>
      <c r="J927" s="54"/>
      <c r="L927" s="54"/>
      <c r="M927" s="54"/>
    </row>
    <row r="928" spans="4:13">
      <c r="D928" s="54"/>
      <c r="J928" s="54"/>
      <c r="L928" s="54"/>
      <c r="M928" s="54"/>
    </row>
    <row r="929" spans="4:13">
      <c r="D929" s="54"/>
      <c r="J929" s="54"/>
      <c r="L929" s="54"/>
      <c r="M929" s="54"/>
    </row>
    <row r="930" spans="4:13">
      <c r="D930" s="54"/>
      <c r="J930" s="54"/>
      <c r="L930" s="54"/>
      <c r="M930" s="54"/>
    </row>
    <row r="931" spans="4:13">
      <c r="D931" s="54"/>
      <c r="J931" s="54"/>
      <c r="L931" s="54"/>
      <c r="M931" s="54"/>
    </row>
    <row r="932" spans="4:13">
      <c r="D932" s="54"/>
      <c r="J932" s="54"/>
      <c r="L932" s="54"/>
      <c r="M932" s="54"/>
    </row>
    <row r="933" spans="4:13">
      <c r="D933" s="54"/>
      <c r="J933" s="54"/>
      <c r="L933" s="54"/>
      <c r="M933" s="54"/>
    </row>
    <row r="934" spans="4:13">
      <c r="D934" s="54"/>
      <c r="J934" s="54"/>
      <c r="L934" s="54"/>
      <c r="M934" s="54"/>
    </row>
    <row r="935" spans="4:13">
      <c r="D935" s="54"/>
      <c r="J935" s="54"/>
      <c r="L935" s="54"/>
      <c r="M935" s="54"/>
    </row>
    <row r="936" spans="4:13">
      <c r="D936" s="54"/>
      <c r="J936" s="54"/>
      <c r="L936" s="54"/>
      <c r="M936" s="54"/>
    </row>
    <row r="937" spans="4:13">
      <c r="D937" s="54"/>
      <c r="J937" s="54"/>
      <c r="L937" s="54"/>
      <c r="M937" s="54"/>
    </row>
    <row r="938" spans="4:13">
      <c r="D938" s="54"/>
      <c r="J938" s="54"/>
      <c r="L938" s="54"/>
      <c r="M938" s="54"/>
    </row>
    <row r="939" spans="4:13">
      <c r="D939" s="54"/>
      <c r="J939" s="54"/>
      <c r="L939" s="54"/>
      <c r="M939" s="54"/>
    </row>
    <row r="940" spans="4:13">
      <c r="D940" s="54"/>
      <c r="J940" s="54"/>
      <c r="L940" s="54"/>
      <c r="M940" s="54"/>
    </row>
    <row r="941" spans="4:13">
      <c r="D941" s="54"/>
      <c r="J941" s="54"/>
      <c r="L941" s="54"/>
      <c r="M941" s="54"/>
    </row>
    <row r="942" spans="4:13">
      <c r="D942" s="54"/>
      <c r="J942" s="54"/>
      <c r="L942" s="54"/>
      <c r="M942" s="54"/>
    </row>
    <row r="943" spans="4:13">
      <c r="D943" s="54"/>
      <c r="J943" s="54"/>
      <c r="L943" s="54"/>
      <c r="M943" s="54"/>
    </row>
    <row r="944" spans="4:13">
      <c r="D944" s="54"/>
      <c r="J944" s="54"/>
      <c r="L944" s="54"/>
      <c r="M944" s="54"/>
    </row>
    <row r="945" spans="4:13">
      <c r="D945" s="54"/>
      <c r="J945" s="54"/>
      <c r="L945" s="54"/>
      <c r="M945" s="54"/>
    </row>
    <row r="946" spans="4:13">
      <c r="D946" s="54"/>
      <c r="J946" s="54"/>
      <c r="L946" s="54"/>
      <c r="M946" s="54"/>
    </row>
    <row r="947" spans="4:13">
      <c r="D947" s="54"/>
      <c r="J947" s="54"/>
      <c r="L947" s="54"/>
      <c r="M947" s="54"/>
    </row>
    <row r="948" spans="4:13">
      <c r="D948" s="54"/>
      <c r="J948" s="54"/>
      <c r="L948" s="54"/>
      <c r="M948" s="54"/>
    </row>
    <row r="949" spans="4:13">
      <c r="D949" s="54"/>
      <c r="J949" s="54"/>
      <c r="L949" s="54"/>
      <c r="M949" s="54"/>
    </row>
    <row r="950" spans="4:13">
      <c r="D950" s="54"/>
      <c r="J950" s="54"/>
      <c r="L950" s="54"/>
      <c r="M950" s="54"/>
    </row>
    <row r="951" spans="4:13">
      <c r="D951" s="54"/>
      <c r="J951" s="54"/>
      <c r="L951" s="54"/>
      <c r="M951" s="54"/>
    </row>
    <row r="952" spans="4:13">
      <c r="D952" s="54"/>
      <c r="J952" s="54"/>
      <c r="L952" s="54"/>
      <c r="M952" s="54"/>
    </row>
    <row r="953" spans="4:13">
      <c r="D953" s="54"/>
      <c r="J953" s="54"/>
      <c r="L953" s="54"/>
      <c r="M953" s="54"/>
    </row>
    <row r="954" spans="4:13">
      <c r="D954" s="54"/>
      <c r="J954" s="54"/>
      <c r="L954" s="54"/>
      <c r="M954" s="54"/>
    </row>
    <row r="955" spans="4:13">
      <c r="D955" s="54"/>
      <c r="J955" s="54"/>
      <c r="L955" s="54"/>
      <c r="M955" s="54"/>
    </row>
    <row r="956" spans="4:13">
      <c r="D956" s="54"/>
      <c r="J956" s="54"/>
      <c r="L956" s="54"/>
      <c r="M956" s="54"/>
    </row>
    <row r="957" spans="4:13">
      <c r="D957" s="54"/>
      <c r="J957" s="54"/>
      <c r="L957" s="54"/>
      <c r="M957" s="54"/>
    </row>
    <row r="958" spans="4:13">
      <c r="D958" s="54"/>
      <c r="J958" s="54"/>
      <c r="L958" s="54"/>
      <c r="M958" s="54"/>
    </row>
    <row r="959" spans="4:13">
      <c r="D959" s="54"/>
      <c r="J959" s="54"/>
      <c r="L959" s="54"/>
      <c r="M959" s="54"/>
    </row>
    <row r="960" spans="4:13">
      <c r="D960" s="54"/>
      <c r="J960" s="54"/>
      <c r="L960" s="54"/>
      <c r="M960" s="54"/>
    </row>
    <row r="961" spans="4:13">
      <c r="D961" s="54"/>
      <c r="J961" s="54"/>
      <c r="L961" s="54"/>
      <c r="M961" s="54"/>
    </row>
    <row r="962" spans="4:13">
      <c r="D962" s="54"/>
      <c r="J962" s="54"/>
      <c r="L962" s="54"/>
      <c r="M962" s="54"/>
    </row>
    <row r="963" spans="4:13">
      <c r="D963" s="54"/>
      <c r="J963" s="54"/>
      <c r="L963" s="54"/>
      <c r="M963" s="54"/>
    </row>
    <row r="964" spans="4:13">
      <c r="D964" s="54"/>
      <c r="J964" s="54"/>
      <c r="L964" s="54"/>
      <c r="M964" s="54"/>
    </row>
    <row r="965" spans="4:13">
      <c r="D965" s="54"/>
      <c r="J965" s="54"/>
      <c r="L965" s="54"/>
      <c r="M965" s="54"/>
    </row>
    <row r="966" spans="4:13">
      <c r="D966" s="54"/>
      <c r="J966" s="54"/>
      <c r="L966" s="54"/>
      <c r="M966" s="54"/>
    </row>
    <row r="967" spans="4:13">
      <c r="D967" s="54"/>
      <c r="J967" s="54"/>
      <c r="L967" s="54"/>
      <c r="M967" s="54"/>
    </row>
    <row r="968" spans="4:13">
      <c r="D968" s="54"/>
      <c r="J968" s="54"/>
      <c r="L968" s="54"/>
      <c r="M968" s="54"/>
    </row>
    <row r="969" spans="4:13">
      <c r="D969" s="54"/>
      <c r="J969" s="54"/>
      <c r="L969" s="54"/>
      <c r="M969" s="54"/>
    </row>
    <row r="970" spans="4:13">
      <c r="D970" s="54"/>
      <c r="J970" s="54"/>
      <c r="L970" s="54"/>
      <c r="M970" s="54"/>
    </row>
    <row r="971" spans="4:13">
      <c r="D971" s="54"/>
      <c r="J971" s="54"/>
      <c r="L971" s="54"/>
      <c r="M971" s="54"/>
    </row>
    <row r="972" spans="4:13">
      <c r="D972" s="54"/>
      <c r="J972" s="54"/>
      <c r="L972" s="54"/>
      <c r="M972" s="54"/>
    </row>
    <row r="973" spans="4:13">
      <c r="D973" s="54"/>
      <c r="J973" s="54"/>
      <c r="L973" s="54"/>
      <c r="M973" s="54"/>
    </row>
    <row r="974" spans="4:13">
      <c r="D974" s="54"/>
      <c r="J974" s="54"/>
      <c r="L974" s="54"/>
      <c r="M974" s="54"/>
    </row>
    <row r="975" spans="4:13">
      <c r="D975" s="54"/>
      <c r="J975" s="54"/>
      <c r="L975" s="54"/>
      <c r="M975" s="54"/>
    </row>
    <row r="976" spans="4:13">
      <c r="D976" s="54"/>
      <c r="J976" s="54"/>
      <c r="L976" s="54"/>
      <c r="M976" s="54"/>
    </row>
    <row r="977" spans="4:13">
      <c r="D977" s="54"/>
      <c r="J977" s="54"/>
      <c r="L977" s="54"/>
      <c r="M977" s="54"/>
    </row>
    <row r="978" spans="4:13">
      <c r="D978" s="54"/>
      <c r="J978" s="54"/>
      <c r="L978" s="54"/>
      <c r="M978" s="54"/>
    </row>
    <row r="979" spans="4:13">
      <c r="D979" s="54"/>
      <c r="J979" s="54"/>
      <c r="L979" s="54"/>
      <c r="M979" s="54"/>
    </row>
    <row r="980" spans="4:13">
      <c r="D980" s="54"/>
      <c r="J980" s="54"/>
      <c r="L980" s="54"/>
      <c r="M980" s="54"/>
    </row>
    <row r="981" spans="4:13">
      <c r="D981" s="54"/>
      <c r="J981" s="54"/>
      <c r="L981" s="54"/>
      <c r="M981" s="54"/>
    </row>
    <row r="982" spans="4:13">
      <c r="D982" s="54"/>
      <c r="J982" s="54"/>
      <c r="L982" s="54"/>
      <c r="M982" s="54"/>
    </row>
    <row r="983" spans="4:13">
      <c r="D983" s="54"/>
      <c r="J983" s="54"/>
      <c r="L983" s="54"/>
      <c r="M983" s="54"/>
    </row>
    <row r="984" spans="4:13">
      <c r="D984" s="54"/>
      <c r="J984" s="54"/>
      <c r="L984" s="54"/>
      <c r="M984" s="54"/>
    </row>
    <row r="985" spans="4:13">
      <c r="D985" s="54"/>
      <c r="J985" s="54"/>
      <c r="L985" s="54"/>
      <c r="M985" s="54"/>
    </row>
    <row r="986" spans="4:13">
      <c r="D986" s="54"/>
      <c r="J986" s="54"/>
      <c r="L986" s="54"/>
      <c r="M986" s="54"/>
    </row>
    <row r="987" spans="4:13">
      <c r="D987" s="54"/>
      <c r="J987" s="54"/>
      <c r="L987" s="54"/>
      <c r="M987" s="54"/>
    </row>
    <row r="988" spans="4:13">
      <c r="D988" s="54"/>
      <c r="J988" s="54"/>
      <c r="L988" s="54"/>
      <c r="M988" s="54"/>
    </row>
    <row r="989" spans="4:13">
      <c r="D989" s="54"/>
      <c r="J989" s="54"/>
      <c r="L989" s="54"/>
      <c r="M989" s="54"/>
    </row>
    <row r="990" spans="4:13">
      <c r="D990" s="54"/>
      <c r="J990" s="54"/>
      <c r="L990" s="54"/>
      <c r="M990" s="54"/>
    </row>
    <row r="991" spans="4:13">
      <c r="D991" s="54"/>
      <c r="J991" s="54"/>
      <c r="L991" s="54"/>
      <c r="M991" s="54"/>
    </row>
    <row r="992" spans="4:13">
      <c r="D992" s="54"/>
      <c r="J992" s="54"/>
      <c r="L992" s="54"/>
      <c r="M992" s="54"/>
    </row>
    <row r="993" spans="4:13">
      <c r="D993" s="54"/>
      <c r="J993" s="54"/>
      <c r="L993" s="54"/>
      <c r="M993" s="54"/>
    </row>
    <row r="994" spans="4:13">
      <c r="D994" s="54"/>
      <c r="J994" s="54"/>
      <c r="L994" s="54"/>
      <c r="M994" s="54"/>
    </row>
    <row r="995" spans="4:13">
      <c r="D995" s="54"/>
      <c r="J995" s="54"/>
      <c r="L995" s="54"/>
      <c r="M995" s="54"/>
    </row>
    <row r="996" spans="4:13">
      <c r="D996" s="54"/>
      <c r="J996" s="54"/>
      <c r="L996" s="54"/>
      <c r="M996" s="54"/>
    </row>
    <row r="997" spans="4:13">
      <c r="D997" s="54"/>
      <c r="J997" s="54"/>
      <c r="L997" s="54"/>
      <c r="M997" s="54"/>
    </row>
    <row r="998" spans="4:13">
      <c r="D998" s="54"/>
      <c r="J998" s="54"/>
      <c r="L998" s="54"/>
      <c r="M998" s="54"/>
    </row>
    <row r="999" spans="4:13">
      <c r="D999" s="54"/>
      <c r="J999" s="54"/>
      <c r="L999" s="54"/>
      <c r="M999" s="54"/>
    </row>
    <row r="1000" spans="4:13">
      <c r="D1000" s="54"/>
      <c r="J1000" s="54"/>
      <c r="L1000" s="54"/>
      <c r="M1000" s="54"/>
    </row>
  </sheetData>
  <mergeCells count="1">
    <mergeCell ref="I2:I4"/>
  </mergeCells>
  <hyperlinks>
    <hyperlink ref="B2" r:id="rId1"/>
    <hyperlink ref="D2" r:id="rId2"/>
    <hyperlink ref="H2" r:id="rId3"/>
    <hyperlink ref="I2" r:id="rId4"/>
    <hyperlink ref="D19" r:id="rId5"/>
    <hyperlink ref="H19" r:id="rId6"/>
    <hyperlink ref="H20" r:id="rId7"/>
    <hyperlink ref="H21" r:id="rId8"/>
    <hyperlink ref="H22" r:id="rId9"/>
    <hyperlink ref="H23" r:id="rId10"/>
    <hyperlink ref="H24" r:id="rId11"/>
    <hyperlink ref="H25" r:id="rId12"/>
    <hyperlink ref="H26" r:id="rId13"/>
    <hyperlink ref="B3" r:id="rId14"/>
    <hyperlink ref="B4" r:id="rId15"/>
    <hyperlink ref="B5" r:id="rId16"/>
    <hyperlink ref="B6" r:id="rId17"/>
    <hyperlink ref="B7" r:id="rId18"/>
    <hyperlink ref="B8" r:id="rId19"/>
    <hyperlink ref="B9" r:id="rId20"/>
    <hyperlink ref="B10" r:id="rId21"/>
    <hyperlink ref="B11" r:id="rId22"/>
    <hyperlink ref="B12" r:id="rId23"/>
    <hyperlink ref="B13" r:id="rId24"/>
    <hyperlink ref="B14" r:id="rId25"/>
    <hyperlink ref="B15" r:id="rId26"/>
    <hyperlink ref="B16" r:id="rId27"/>
    <hyperlink ref="B17" r:id="rId28"/>
    <hyperlink ref="B18" r:id="rId29"/>
    <hyperlink ref="D3" r:id="rId30"/>
    <hyperlink ref="D4" r:id="rId31"/>
    <hyperlink ref="D5" r:id="rId32"/>
    <hyperlink ref="D6" r:id="rId33"/>
    <hyperlink ref="D7" r:id="rId34"/>
    <hyperlink ref="D8" r:id="rId35"/>
    <hyperlink ref="D9" r:id="rId36"/>
    <hyperlink ref="D10" r:id="rId37"/>
    <hyperlink ref="D11" r:id="rId38"/>
    <hyperlink ref="D12" r:id="rId39"/>
    <hyperlink ref="D13" r:id="rId40"/>
    <hyperlink ref="D14" r:id="rId41"/>
    <hyperlink ref="D15" r:id="rId42"/>
    <hyperlink ref="D16" r:id="rId43"/>
    <hyperlink ref="D17" r:id="rId44"/>
    <hyperlink ref="D18" r:id="rId45"/>
    <hyperlink ref="H3" r:id="rId46"/>
    <hyperlink ref="H4" r:id="rId47"/>
    <hyperlink ref="H5" r:id="rId48"/>
    <hyperlink ref="H6" r:id="rId49"/>
    <hyperlink ref="H7" r:id="rId50"/>
    <hyperlink ref="H8" r:id="rId51"/>
    <hyperlink ref="H9" r:id="rId52"/>
    <hyperlink ref="H10" r:id="rId53"/>
    <hyperlink ref="H11" r:id="rId54"/>
    <hyperlink ref="H12" r:id="rId55"/>
    <hyperlink ref="H13" r:id="rId56"/>
    <hyperlink ref="H14" r:id="rId57"/>
    <hyperlink ref="H15" r:id="rId58"/>
    <hyperlink ref="H16" r:id="rId59"/>
    <hyperlink ref="H17" r:id="rId60"/>
    <hyperlink ref="H18" r:id="rId61"/>
    <hyperlink ref="I3" r:id="rId62" display="https://drive.google.com/file/d/15uVdfVe821I4Wp-mNlZkslQyn2Rw08cw/view?usp=drive_link"/>
    <hyperlink ref="I4" r:id="rId63" display="https://drive.google.com/file/d/15uVdfVe821I4Wp-mNlZkslQyn2Rw08cw/view?usp=drive_link"/>
    <hyperlink ref="I5" r:id="rId64" display="https://drive.google.com/file/d/15uVdfVe821I4Wp-mNlZkslQyn2Rw08cw/view?usp=drive_link"/>
    <hyperlink ref="I6" r:id="rId65" display="https://drive.google.com/file/d/15uVdfVe821I4Wp-mNlZkslQyn2Rw08cw/view?usp=drive_link"/>
    <hyperlink ref="I7" r:id="rId66" display="https://drive.google.com/file/d/15uVdfVe821I4Wp-mNlZkslQyn2Rw08cw/view?usp=drive_link"/>
    <hyperlink ref="I8" r:id="rId67" display="https://drive.google.com/file/d/15uVdfVe821I4Wp-mNlZkslQyn2Rw08cw/view?usp=drive_link"/>
    <hyperlink ref="I9" r:id="rId68" display="https://drive.google.com/file/d/15uVdfVe821I4Wp-mNlZkslQyn2Rw08cw/view?usp=drive_link"/>
    <hyperlink ref="I10" r:id="rId69" display="https://drive.google.com/file/d/15uVdfVe821I4Wp-mNlZkslQyn2Rw08cw/view?usp=drive_link"/>
    <hyperlink ref="I11" r:id="rId70" display="https://drive.google.com/file/d/15uVdfVe821I4Wp-mNlZkslQyn2Rw08cw/view?usp=drive_link"/>
    <hyperlink ref="I12" r:id="rId71" display="https://drive.google.com/file/d/15uVdfVe821I4Wp-mNlZkslQyn2Rw08cw/view?usp=drive_link"/>
    <hyperlink ref="I13" r:id="rId72" display="https://drive.google.com/file/d/15uVdfVe821I4Wp-mNlZkslQyn2Rw08cw/view?usp=drive_link"/>
    <hyperlink ref="I14" r:id="rId73" display="https://drive.google.com/file/d/15uVdfVe821I4Wp-mNlZkslQyn2Rw08cw/view?usp=drive_link"/>
    <hyperlink ref="I15" r:id="rId74" display="https://drive.google.com/file/d/15uVdfVe821I4Wp-mNlZkslQyn2Rw08cw/view?usp=drive_link"/>
    <hyperlink ref="I16" r:id="rId75" display="https://drive.google.com/file/d/15uVdfVe821I4Wp-mNlZkslQyn2Rw08cw/view?usp=drive_link"/>
    <hyperlink ref="I17" r:id="rId76" display="https://drive.google.com/file/d/15uVdfVe821I4Wp-mNlZkslQyn2Rw08cw/view?usp=drive_link"/>
    <hyperlink ref="I18" r:id="rId77" display="https://drive.google.com/file/d/15uVdfVe821I4Wp-mNlZkslQyn2Rw08cw/view?usp=drive_link"/>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6:C9"/>
  <sheetViews>
    <sheetView workbookViewId="0"/>
  </sheetViews>
  <sheetFormatPr defaultColWidth="12.5703125" defaultRowHeight="15.75" customHeight="1"/>
  <cols>
    <col min="2" max="2" width="46.5703125" customWidth="1"/>
  </cols>
  <sheetData>
    <row r="6" spans="1:3" ht="140.25" customHeight="1">
      <c r="A6" s="55" t="s">
        <v>330</v>
      </c>
      <c r="B6" s="56" t="s">
        <v>331</v>
      </c>
      <c r="C6" s="55" t="s">
        <v>332</v>
      </c>
    </row>
    <row r="7" spans="1:3" ht="12.75">
      <c r="B7" s="57" t="e">
        <f>#REF!</f>
        <v>#REF!</v>
      </c>
      <c r="C7" s="55" t="s">
        <v>333</v>
      </c>
    </row>
    <row r="8" spans="1:3" ht="12.75">
      <c r="B8" s="57" t="e">
        <f>#REF! &amp;", "&amp;#REF!</f>
        <v>#REF!</v>
      </c>
      <c r="C8" s="55" t="s">
        <v>334</v>
      </c>
    </row>
    <row r="9" spans="1:3" ht="12.75">
      <c r="B9" s="57" t="e">
        <f>#REF!&amp;", "&amp;#REF!&amp;", "&amp;#REF!&amp;", "&amp;#REF!</f>
        <v>#REF!</v>
      </c>
      <c r="C9" s="55" t="s">
        <v>335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Trang tính1</vt:lpstr>
      <vt:lpstr>data</vt:lpstr>
      <vt:lpstr>Mẫu tem giao hàng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DELL</cp:lastModifiedBy>
  <dcterms:modified xsi:type="dcterms:W3CDTF">2025-10-03T06:06:54Z</dcterms:modified>
</cp:coreProperties>
</file>